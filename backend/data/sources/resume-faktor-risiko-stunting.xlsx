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D:\DSI Undip\Disertasi\Referensi 2023 (dr flashdisk)\"/>
    </mc:Choice>
  </mc:AlternateContent>
  <xr:revisionPtr revIDLastSave="0" documentId="13_ncr:1_{10BD2A43-6644-4FDB-9E47-EEDBD1C246EC}" xr6:coauthVersionLast="45" xr6:coauthVersionMax="47" xr10:uidLastSave="{00000000-0000-0000-0000-000000000000}"/>
  <bookViews>
    <workbookView xWindow="-108" yWindow="-108" windowWidth="23256" windowHeight="12456" activeTab="2" xr2:uid="{45E7F930-A408-4CE5-9F89-360FF0F341F7}"/>
  </bookViews>
  <sheets>
    <sheet name="faktor stunting" sheetId="4" r:id="rId1"/>
    <sheet name="Dr Publish of Perish" sheetId="6" r:id="rId2"/>
    <sheet name="Analisis faktor stunting"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0" i="5" l="1"/>
  <c r="G30" i="5"/>
  <c r="H30" i="5"/>
  <c r="I30" i="5"/>
  <c r="J30" i="5"/>
  <c r="K30" i="5"/>
  <c r="L30" i="5"/>
  <c r="M30" i="5"/>
  <c r="N30" i="5"/>
  <c r="O30" i="5"/>
  <c r="P30" i="5"/>
  <c r="Q30" i="5"/>
  <c r="R30" i="5"/>
  <c r="S30" i="5"/>
  <c r="T30" i="5"/>
  <c r="U30" i="5"/>
  <c r="V30" i="5"/>
  <c r="W30" i="5"/>
  <c r="X30" i="5"/>
  <c r="Y30" i="5"/>
  <c r="Z30" i="5"/>
  <c r="AA30" i="5"/>
  <c r="AB30" i="5"/>
  <c r="AC30" i="5"/>
  <c r="AD30" i="5"/>
  <c r="AE30" i="5"/>
  <c r="AF30" i="5"/>
  <c r="AG30" i="5"/>
  <c r="AH30" i="5"/>
</calcChain>
</file>

<file path=xl/sharedStrings.xml><?xml version="1.0" encoding="utf-8"?>
<sst xmlns="http://schemas.openxmlformats.org/spreadsheetml/2006/main" count="1184" uniqueCount="876">
  <si>
    <t>Tahun</t>
  </si>
  <si>
    <t>Fokus penelitian</t>
  </si>
  <si>
    <t>Permasalahan, tujuan penelitian</t>
  </si>
  <si>
    <t>Data</t>
  </si>
  <si>
    <t xml:space="preserve">Hasil penelitian </t>
  </si>
  <si>
    <t>Kesimpulan</t>
  </si>
  <si>
    <t>Nama Peneliti</t>
  </si>
  <si>
    <t>NO</t>
  </si>
  <si>
    <t>√</t>
  </si>
  <si>
    <t xml:space="preserve">Judul Artikel/ Publikasi </t>
  </si>
  <si>
    <t>Siti Rahayu Nadhiroh; Fedora Micheala; Serene En Hui Tung; Theresia Chrisanthy Kustiawan</t>
  </si>
  <si>
    <t>eksplorasi hubungan antara anemia pada ibu hamil dengan kondisi stunting pada anak usia 0-60 bulan</t>
  </si>
  <si>
    <t xml:space="preserve">Permasalahan : mengetahui apakah anemia pada ibu hamil berhubungan dengan kondisi stunting pada anak usia 0-60 bulan.  Tujuan : penelitian ini adalah untuk mengeksplorasi hubungan antara anemia pada ibu hamil dengan kondisi stunting pada anak usia 0-60 bulan dalam studi kohort, case-control, dan cross-sectional yang dilakukan di beberapa negara. </t>
  </si>
  <si>
    <t xml:space="preserve">Metode </t>
  </si>
  <si>
    <t xml:space="preserve">Metode yang digunakan dalam penelitian ini adalah systematic literature review dengan melakukan pencarian literatur melalui database ScienceDirect, PubMed, Scopus, ProQuest, Google Search, dan AJOG (American Journal Obstetrics and Gynecology) hingga tanggal 7 Desember 2021. Kriteria inklusi dan eksklusi digunakan untuk memilih studi yang relevan dengan pertanyaan penelitian. </t>
  </si>
  <si>
    <t>Artikel penelitian terkait anemia dan stunting</t>
  </si>
  <si>
    <t>Kesimpulan dari penelitian ini adalah bahwa terdapat hubungan antara anemia pada ibu hamil dan stunting pada anak usia 0-60 bulan. Namun, diperlukan penelitian lebih lanjut untuk memperjelas hubungan ini dan mengeksplorasi faktor-faktor lain yang dapat mempengaruhi hubungan ini. 
Riset lebih lanjut dapat dilakukan untuk mengeksplorasi faktor-faktor lain yang dapat mempengaruhi hubungan antara anemia pada ibu hamil dan stunting pada</t>
  </si>
  <si>
    <t>Bayesian geostatistical modelling of stunting in Rwanda: risk factors and spatially explicit residual stunting burden ; BMC Public Health Volume 22, Isseu 1   https://doi.org/10.1186/s12889-022-12552-y</t>
  </si>
  <si>
    <t>Uwiringiyimana, Vestine; Osei, Frank;
Amer, Sherif; Veldkamp, Antonie</t>
  </si>
  <si>
    <t>prediksi pola spasial stunting pada anak di bawah lima tahun di Rwanda dengan mempertimbangkan faktor risiko antropometrik, sosioekonomi, dan demografis</t>
  </si>
  <si>
    <t>Tujuan : untuk mempelajari pola spasial stunting pada anak di bawah lima tahun di Rwanda dengan mempertimbangkan faktor risiko antropometrik, sosioekonomi, dan demografis</t>
  </si>
  <si>
    <t>Metode yang digunakan adalah Bayesian geostatistical modelling. Model ini digunakan untuk memprediksi pola spasial stunting pada grid 5x5 km dan mengidentifikasi faktor risiko yang signifikan</t>
  </si>
  <si>
    <t xml:space="preserve">Kesimpulan dari penelitian ini adalah bahwa Bayesian geostatistical modelling dapat digunakan untuk mempelajari pola spasial stunting dan mengidentifikasi faktor risiko yang signifikan. Selain itu, hasil penelitian ini dapat membantu pemerintah dan organisasi kesehatan dalam merancang program intervensi yang lebih efektif untuk mengurangi stunting di Rwanda. 
Riset lebih lanjut dapat dilakukan untuk memperluas cakupan faktor risiko yang dipertimbangkan dalam model, serta untuk mempelajari interaksi antara faktor risiko yang berbeda. Selain itu, penelitian lebih lanjut dapat dilakukan untuk </t>
  </si>
  <si>
    <t>Joint modelling of anaemia and stunting in children less than five years of age in Lesotho: a cross-sectional case study ; BMC Public Health Volume 22, Issue 1 ; 
https://doi.org/10.1186/s12889-022-12690-3</t>
  </si>
  <si>
    <t>Rugiranka Tony Gaston; Faustin Habyarimana; Shaun Ramroop</t>
  </si>
  <si>
    <t>Data dari Rwanda Demographic and Health Survey (RDHS) 2014-2015</t>
  </si>
  <si>
    <t xml:space="preserve">Rumusan Masalah : menentukan hubungan antara anemia dan stunting pada anak di bawah lima tahun di Lesotho serta faktor-faktor sosial ekonomi dan demografi yang terkait dengan kondisi tersebut. Tujuan : menentukan hubungan antara anemia dan stunting pada anak di bawah lima tahun di Lesotho menggunakan model gabungan multivariat di bawah GLMM. Artikel ini juga mengevaluasi faktor-faktor sosial ekonomi dan demografi yang terkait dengan anemia dan stunting serta kemungkinan efek interaksi antara variabel independen. </t>
  </si>
  <si>
    <t>menentukan hubungan antara anemia dan stunting pada anak di bawah lima tahun</t>
  </si>
  <si>
    <t xml:space="preserve">Data dikumpulkan dari 1.008 anak di bawah lima tahun di Lesotho melalui survei kesehatan nasional. </t>
  </si>
  <si>
    <t>Metode yang digunakan dalam penelitian ini adalah studi kasus lintas-seksional dengan menggunakan model gabungan multivariat di bawah GLMM</t>
  </si>
  <si>
    <t>Kesimpulan dari penelitian ini adalah bahwa anemia dan stunting masih menjadi masalah kesehatan yang serius di Lesotho, dan faktor-faktor sosial ekonomi dan demografi berperan dalam kondisi tersebut. Penelitian lebih lanjut dapat dilakukan untuk mengevaluasi faktor-faktor lain yang terkait dengan anemia dan stunting pada anak di bawah lima tahun di Lesotho. 
Riset lebih lanjut dapat dilakukan untuk mengevaluasi faktor-faktor lain yang terkait dengan anemia dan stunting pada anak di bawah lima tahun di Lesotho, seperti asupan makanan dan status gizi ibu. Selain itu</t>
  </si>
  <si>
    <t>Prevalence and risk predictors of childhood stunting in Bangladesh ; PLoS ONE Volume 18, Issue 1 ; https://doi.org/10.1371/journal.pone.027990</t>
  </si>
  <si>
    <t>Abdulla, Faruq; Rahman, Azizur; Hossain, Md Moyazzem</t>
  </si>
  <si>
    <t>mengidentifikasi faktor-faktor risiko yang berkontribusi terhadap stunting pada anak di bawah usia lima tahun di Banglades</t>
  </si>
  <si>
    <t xml:space="preserve">rumusan masalah yang bertujuan untuk mengidentifikasi faktor-faktor risiko yang berkontribusi terhadap stunting pada anak di bawah usia lima tahun di Bangladesh. Tujuan penelitian ini adalah untuk memberikan informasi yang lebih baik tentang prevalensi stunting dan faktor-faktor risiko yang terkait dengan stunting pada anak di Bangladesh. </t>
  </si>
  <si>
    <t>Data : data Survei Demografi dan Kesehatan Bangladesh tahun 2014. Sampel penelitian terdiri dari 7.731 anak di bawah usia lima tahun</t>
  </si>
  <si>
    <t>Metode yang digunakan dalam penelitian ini adalah analisis regresi kuantil</t>
  </si>
  <si>
    <t>Kesimpulan dari penelitian ini adalah bahwa stunting pada anak di bawah usia lima tahun di Bangladesh masih menjadi masalah kesehatan masyarakat yang serius. Untuk mengurangi beban stunting pada malnutrisi anak, penulis merekomendasikan agar pemerintah, LSM, dan organisasi masyarakat bekerja sama dalam merancang dan melaksanakan intervensi gizi yang efektif dan tepat sasaran yang berfokus pada kelompok rentan. 
Riset lebih lanjut dapat dilakukan untuk memperdalam pemahaman tentang faktor-faktor risiko yang terkait dengan stunting pada anak di Bangladesh, serta untuk mengevaluasi efektivitas intervensi gizi yang berbeda dalam mengurangi prevalensi stunting pada anak.</t>
  </si>
  <si>
    <t>Risk factors associated with under-five stunting, wasting, and underweight in four provinces of the Democratic Republic of Congo: analysis of the ASSP project baseline data ; BMC Public Health Volume 22 Isseu 1 ; https://doi.org/10.1186/s12889-022-14842-x</t>
  </si>
  <si>
    <t xml:space="preserve">Joy Kinko Luzingu; Nancy Stroupe; Halimatou Alaofe; Elizabeth Jacobs; Kacey Ernst </t>
  </si>
  <si>
    <t>Rumusan Masalah:
masih ada kekurangan pengetahuan tentang faktor-faktor risiko yang terkait dengan stunting, wasting, dan underweight pada anak di DRC  
Tujuan penelitian : mengevaluasi prevalensi stunting, wasting, dan underweight pada anak di empat provinsi di DRC dan menilai hubungannya dengan variabel tingkat anak, ibu, dan rumah tangga</t>
  </si>
  <si>
    <t>Data :  data dasar dari proyek "Accès aux soins de santé primaire (ASSP)" untuk mengevaluasi prevalensi stunting, wasting, dan underweight pada anak di empat provinsi di DRC. Penelitian ini melibatkan 3911 anak yang berusia 0-59 bulan dan pasangan ibu. Skor Z tinggi-badan-umur, skor Z berat-badan-tinggi, dan skor Z berat-badan-umur dihitung dan digunakan untuk mengklasifikasikan stunting, wasting, dan underweight pada anak, sesuai dengan referensi pertumbuhan Organisasi Kesehatan Dunia (WHO</t>
  </si>
  <si>
    <t>mengevaluasi prevalensi stunting, wasting, dan underweight pada anak di empat provinsi di Republik Demokratik Kongo (DRC) dan menilai hubungannya dengan variabel tingkat anak, ibu, dan rumah tangga.</t>
  </si>
  <si>
    <t>Determinants of childhood stunting in the Democratic Republic of Congo: further analysis of Demographic and Health Survey 2013–14 ; BMC Public Health Volume 18 Isseu 1 ; https://doi.org/10.1186/s12889-022-14842-x</t>
  </si>
  <si>
    <t xml:space="preserve">Hallgeir Kismul; Pawan Acharya; Mala Ali Mapatano; Anne Hatløy </t>
  </si>
  <si>
    <t xml:space="preserve"> Association between maternal anemia and stunting in infants and children aged 0–60 months: A systematic literature review ; Nutrition
Volume 115, November 2023 ;  https://doi.org/10.1016/j.nut.2023.112094</t>
  </si>
  <si>
    <t>Prevalence and associated factors influencing stunting and wasting among children of ages 1 to 5 years in Nkwanta South Municipality, Ghana ;  Nutrition
Volume 110, June 2023 ; https://doi.org/10.1016/j.nut.2023.111996</t>
  </si>
  <si>
    <t>Francis Danso M.Sc.; Maxwell Afranie Appiah B.P.H.</t>
  </si>
  <si>
    <t>menilai prevalensi dan faktor-faktor yang mempengaruhi stunting dan wasting pada anak usia 1 hingga 5</t>
  </si>
  <si>
    <t>Permasalahan : Tingginya permasalahan kesehatan masyarakat terkait stunting dan wasting pada anak usia &lt; 5 tahun yang dpt menyebabkan mudah terkena penyakit dan kematian
Tujuan dari penelitian ini adalah untuk menilai prevalensi dan faktor-faktor yang mempengaruhi stunting dan wasting pada anak usia 1 hingga 5 tahun di Nkwanta South Municipality, Ghana.</t>
  </si>
  <si>
    <t>sampel sebanyak 400 anak usia 1 hingga 5 tahun yang dipilih secara acak dari 10 desa di Nkwanta South Municipality. Data dikumpulkan melalui wawancara dengan ibu atau pengasuh anak dan pengukuran antropometri anak. Data dianalisis menggunakan perangkat lunak SPSS versi 23.0.</t>
  </si>
  <si>
    <t xml:space="preserve">Penelitian ini menggunakan desain potong lintang (cross-sectional) </t>
  </si>
  <si>
    <t>Penelitian ini menunjukkan bahwa stunting dan wasting pada anak usia 1 hingga 5 tahun di Nkwanta South Municipality masih menjadi masalah kesehatan masyarakat yang serius. Faktor-faktor yang mempengaruhi stunting dan wasting pada anak perlu diperhatikan dalam upaya pencegahan dan pengobatan.
Riset Lebih Lanjut:
Penelitian lebih lanjut dapat dilakukan untuk mengevaluasi efektivitas intervensi gizi pada anak usia 1 hingga 5 tahun di Nkwanta South Municipality. Selain itu, penelitian dapat dilakukan untuk mengevaluasi faktor-faktor lain yang berkontribusi terhadap stunting dan wasting pada anak di wilayah tersebut.</t>
  </si>
  <si>
    <t xml:space="preserve">Renuka Devi Logarajan M.Econ.; Norashidah Mohamed Nor Ph.D.; Saifuzzaman Ibrahim Ph.D. ; Rusmawati Said Ph.D. </t>
  </si>
  <si>
    <t>mengevaluasi faktor-faktor sosial yang berkontribusi terhadap stunting pada anak-anak etnis Melayu berusia di bawah 5 tahun di Malaysia.</t>
  </si>
  <si>
    <t>Permasalahan : Stunting masih menjadi masalah kesehatan masyarakat yang signifikan di Malaysia, terutama pada anak-anak etnis Melayu berusia di bawah 5 tahun. 
Tujuan Penelitian : mengevaluasi faktor-faktor sosial yang berkontribusi terhadap stunting pada anak-anak etnis Melayu berusia di bawah 5 tahun di Malaysia.  Memberikan informasi penting bagi pembuat kebijakan dan pemangku kepentingan lainnya dalam merancang dan melaksanakan intervensi yang relevan.</t>
  </si>
  <si>
    <t>data dari Malaysian National Health and Morbidity Survey (NHMS) 2016, yang mencakup 7.914 anak etnis Melayu berusia di bawah 5 tahun</t>
  </si>
  <si>
    <t>Analisis dilakukan dengan menggunakan regresi logistik untuk mengevaluasi hubungan antara faktor-faktor sosial dan stunting pada anak-anak ini.</t>
  </si>
  <si>
    <t>Penelitian ini menyimpulkan bahwa stunting masih menjadi masalah kesehatan masyarakat yang signifikan di Malaysia, terutama pada anak-anak etnis Melayu berusia</t>
  </si>
  <si>
    <t>Nega Mulu; Bekrie Mohammed; Haile Woldie; Kegnie Shitu</t>
  </si>
  <si>
    <t>mengidentifikasi faktor-faktor yang berkontribusi terhadap stunting dan wasting pada anak jalanan di Northwest Ethiopia.</t>
  </si>
  <si>
    <t xml:space="preserve">Permasalahan :  dalam penelitian ini adalah untuk mengetahui faktor-faktor apa saja yang berkontribusi terhadap stunting dan wasting pada anak jalanan di Ethiopia.  bertujuan untuk mengidentifikasi faktor-faktor yang berkontribusi terhadap stunting dan wasting pada anak jalanan di Ethiopia. </t>
  </si>
  <si>
    <t xml:space="preserve">Data : Sampel diambil dengan teknik convenience sampling. Data dikumpulkan melalui kuesioner terstruktur yang diisi oleh responden. </t>
  </si>
  <si>
    <t xml:space="preserve">Metode yang digunakan dalam penelitian ini adalah desain penelitian potong lintang berbasis masyarakat. Analisis data dilakukan dengan menggunakan regresi logistik bivariat dan multivariat. </t>
  </si>
  <si>
    <t>Kesimpulan dari penelitian ini adalah bahwa perlu dilakukan intervensi yang tepat untuk mengatasi masalah stunting dan wasting pada anak jalanan di Ethiopia. 
Riset lebih lanjut diperlukan untuk mengeksplorasi faktor-faktor lain yang mungkin berkontribusi terhadap stunting dan wasting pada anak jalanan di Ethiopia serta untuk mengevaluasi efektivitas intervensi yang dilakukan.</t>
  </si>
  <si>
    <t>Pooled prevalence of stunting and associated factors among children aged 6–59 months in Sub-Saharan Africa countries: A Bayesian multilevel approach ; PLoS ONE Volume 17, Issue 10, October 2022 ; https://doi.org/10.1371/journal.pone.0275889</t>
  </si>
  <si>
    <t>Bayley Adane Takele; Lemma Derseh Gezie; Tesfa Sewunet Alamneh</t>
  </si>
  <si>
    <t xml:space="preserve"> rumusan masalah untuk menilai prevalensi terkumpul dari stunting dan faktor-faktor yang terkait dengan stunting pada anak-anak usia 6-59 bulan di negara-negara Sub-Sahara Afrika. Tujuan penelitian adalah untuk mengevaluasi prevalensi terkumpul stunting dan faktor-faktor yang terkait dengan stunting pada anak-anak usia 6-59 bulan di Sub-Sahara Afrika menggunakan pendekatan statistik Bayesian multilevel. </t>
  </si>
  <si>
    <t>mengevaluasi prevalensi terkumpul dari stunting dan faktor-faktor yang terkait dengan stunting pada anak-anak usia 6-59 bulan di negara-negara Sub-Sahara Afrika</t>
  </si>
  <si>
    <t>sekunder berdasarkan data set survei kesehatan dan demografi dari 35 negara Sub-Sahara Afrika dari tahun 2008 hingga 2020</t>
  </si>
  <si>
    <t>Model regresi logistik biner dilakukan berdasarkan pendekatan statistik Bayesian multilevel hierarkis untuk memperhitungkan sifat hierarkis data survei kesehatan dan demografi dan untuk mendapatkan perkiraan yang dapat diandalkan dengan menggunakan informasi tambahan dari distribusi sebelumnya</t>
  </si>
  <si>
    <t xml:space="preserve"> stunting masih menjadi masalah kesehatan masyarakat yang signifikan di Sub-Sahara Afrika dan faktor-faktor yang terkait dengan stunting meliputi faktor biologis, sosial, dan ekonomi. Riset lebih lanjut diperlukan untuk mengembangkan intervensi yang efektif untuk mengurangi prevalensi stunting di Sub-Sahara Afrika.</t>
  </si>
  <si>
    <t>Risk factors of stunting and wasting in Somali pre-school age children: results from the 2019 Somalia micronutrient survey ; BMC Public Health Volume 22, Issue 1, December 2022 ; https://doi.org/10.1186/s12889-021-12439-4</t>
  </si>
  <si>
    <t>William E. S. Donkor; Joshua Mbai; Fatmata Sesay;  Sundus Ibrahim Ali; Bradley A. Woodruff;
Shuaib Mohamoud Hussein; Kheyriya Mohamed Mohamud; Ahmed Muse; Warsame Said Mohamed;  Abdullahi Muse Mohamoud; Farhan Mohamed Mohamud; Nicolai Petry; Melanie Galvin; Rita Wegmüller; Fabian Rohner; Yvonne Katambo; James P. Wirth</t>
  </si>
  <si>
    <t>mengevaluasi prevalensi dan faktor risiko potensial stunting dan wasting pada anak usia pra-sekolah di Somalia.</t>
  </si>
  <si>
    <t>Masalah Penelitian:
Tujuan dari penelitian ini adalah untuk mengevaluasi prevalensi dan faktor risiko potensial stunting dan wasting pada anak usia pra-sekolah di Somalia.</t>
  </si>
  <si>
    <t>Data dari Survei Mikronutrien Somalia (SMS 2019) yang representatif secara nasional pada 1947 anak dianalisis untuk menilai prevalensi dan faktor risiko potensial stunting dan wasting</t>
  </si>
  <si>
    <t xml:space="preserve"> Analisis bivariat dan multivariat dilakukan secara terpisah untuk anak-anak usia 0-5 bulan dan 6-59 bulan, dan fraksi yang dapat diatribusikan pada populasi dihitung menggunakan rasio risiko yang disesuaikan yang dihasilkan oleh model regresi Poisson.</t>
  </si>
  <si>
    <t>Stunting among children under two years in Indonesia: Does maternal education matter? ;  PLoS ONE Volume 17, Issue 7, Juli 2022 ;https://doi.org/10.1371/journal.pone.0271509</t>
  </si>
  <si>
    <t>Agung Dwi Laksono; Ratna Dwi Wulandari; Nurillah Amaliah; Ratih Wirapuspita Wisnuwardani</t>
  </si>
  <si>
    <t xml:space="preserve">Rumusan masalah dari artikel ini adalah untuk menganalisis hubungan antara pendidikan ibu dan stunting pada anak di bawah dua tahun di Indonesia. Tujuan penelitian adalah untuk mengetahui apakah pendidikan ibu berhubungan dengan stunting pada anak di bawah dua tahun di Indonesia. </t>
  </si>
  <si>
    <t>data sekunder dari Survei Pemantauan Status Gizi Indonesia 2017.</t>
  </si>
  <si>
    <t>Unit analisis adalah anak di bawah dua tahun, dan penelitian ini memperoleh sampel tertimbang sebanyak 70.293 anak. Selain pendidikan ibu, variabel independen lain yang dianalisis dalam penelitian ini adalah tempat tinggal, usia ibu, status perkawinan ibu, pekerjaan ibu, usia dan jenis kelamin anak. Pada tahap akhir, penelitian ini menggunakan uji regresi logistik biner multivariat.</t>
  </si>
  <si>
    <t>Gizi anak &lt; 5th</t>
  </si>
  <si>
    <t>Pendidikan ibu</t>
  </si>
  <si>
    <t>Sosial ekonomi</t>
  </si>
  <si>
    <t>Jumlah anak</t>
  </si>
  <si>
    <t>Jarak kelahiran</t>
  </si>
  <si>
    <t>Gizi ibu hamil &amp; menyusui</t>
  </si>
  <si>
    <t>Usia Ibu</t>
  </si>
  <si>
    <t>Usia anak</t>
  </si>
  <si>
    <t>Akses sanitasi</t>
  </si>
  <si>
    <t>Akses air bersih</t>
  </si>
  <si>
    <t>Pemberian ASI</t>
  </si>
  <si>
    <t>Terpapar asap rokok</t>
  </si>
  <si>
    <t>Praktek pemberian makan</t>
  </si>
  <si>
    <t>Siti Rahayu Nadhiroh dkk (2023)</t>
  </si>
  <si>
    <t>mengeksplorasi hubungan antara anemia pada ibu hamil dengan kondisi stunting pada anak usia 0-60 bulan dalam studi kohort, case-control, dan cross-sectional yang dilakukan di beberapa negara</t>
  </si>
  <si>
    <t>Ibu hamil</t>
  </si>
  <si>
    <t>Anemia</t>
  </si>
  <si>
    <t>Francis Danso M.Sc.; Maxwell Afranie Appiah B.P.H. (2023)</t>
  </si>
  <si>
    <t>Anak usia &lt; 5 tahun</t>
  </si>
  <si>
    <t>menilai prevalensi dan faktor-faktor yang mempengaruhi stunting dan wasting pada anak usia 1 hingga 5 tahun di Nkwanta South Municipality, Ghana</t>
  </si>
  <si>
    <t>Imunisasi</t>
  </si>
  <si>
    <t>Renuka Devi Logarajan M.Econ. dkk (2023)</t>
  </si>
  <si>
    <t>mengevaluasi faktor-faktor sosial yang berkontribusi terhadap stunting pada anak-anak etnis Melayu berusia di bawah 5 tahun di Malaysia</t>
  </si>
  <si>
    <t>Nega Mulu dkk. (2022)</t>
  </si>
  <si>
    <t>Anak jalanan</t>
  </si>
  <si>
    <t>mengidentifikasi faktor-faktor yang berkontribusi terhadap stunting dan wasting pada anak jalanan di Ethiopia</t>
  </si>
  <si>
    <t>mempelajari pola spasial stunting pada anak di bawah lima tahun di Rwanda dengan mempertimbangkan faktor risiko antropometrik, sosioekonomi, dan demografis</t>
  </si>
  <si>
    <t>Akses layanan kesehatan</t>
  </si>
  <si>
    <t>Rugiranka Tony Gaston dkk (2022)</t>
  </si>
  <si>
    <t>Uwiringiyimana dkk (2022)</t>
  </si>
  <si>
    <t>menentukan hubungan antara anemia dan stunting pada anak di bawah lima tahun di Lesotho</t>
  </si>
  <si>
    <t>Demografi</t>
  </si>
  <si>
    <t>Bayley Adane Takele dkk (2022)</t>
  </si>
  <si>
    <t>mengevaluasi prevalensi terkumpul stunting dan faktor-faktor yang terkait dengan stunting pada anak-anak usia 6-59 bulan di Sub-Sahara Afrika</t>
  </si>
  <si>
    <t>Anak usia 6-59 bulan</t>
  </si>
  <si>
    <t>Abdulla, Faruq et al. (2023)</t>
  </si>
  <si>
    <t xml:space="preserve"> memberikan informasi yang lebih baik tentang prevalensi stunting dan faktor-faktor risiko yang terkait dengan stunting pada anak di Bangladesh.</t>
  </si>
  <si>
    <t>Joy Kinko Luzingu et.al. (2022)</t>
  </si>
  <si>
    <t>mengevaluasi prevalensi stunting, wasting, dan underweight pada anak di empat provinsi di DRC dan menilai hubungannya dengan variabel tingkat anak, ibu, dan rumah tangga</t>
  </si>
  <si>
    <t>Anak usia 0-59 bulan dan Ibu</t>
  </si>
  <si>
    <t>William E. S. Donkor et al. (2022)</t>
  </si>
  <si>
    <t>Anak pra sekolah</t>
  </si>
  <si>
    <t>mengevaluasi prevalensi dan faktor risiko potensial stunting dan wasting pada anak usia pra-sekolah di Somalia</t>
  </si>
  <si>
    <t>Agung Dwi Laksono, et al. (2022)</t>
  </si>
  <si>
    <t>Anak usia dibawah 2th (Baduta)</t>
  </si>
  <si>
    <t>Mengetahui apakah pendidikan ibu berhubungan dengan stunting pada anak di bawah dua tahun di Indonesia</t>
  </si>
  <si>
    <t>Q2</t>
  </si>
  <si>
    <t xml:space="preserve">Factors associated with stunting: gut
inflammation and child and maternal-related
contributors among under-five children
in Hawassa City, Sidama Region, Ethiopia ; BMC Nutrition Volume 9, Issue 1, December 2023 , p 1-8 ; 
https://doi.org/10.1186/s40795-023-00701-4 </t>
  </si>
  <si>
    <t xml:space="preserve">Berhanu Kibemo Lefebo; Dejene Hailu Kassa; Baye Gelaw Tarekegn </t>
  </si>
  <si>
    <t>Rumusan masalah ; mengetahui faktor-faktor yang berkontribusi terhadap stunting pada anak di bawah usia lima tahun di kota Hawassa, wilayah Sidama, Ethiopia. Tujuan penelitian : mengevaluasi hubungan antara inflamasi usus dan faktor-faktor terkait anak dan ibu dengan stunting pada anak di bawah usia lima tahun.</t>
  </si>
  <si>
    <t>Sampel penelitian terdiri dari 422 anak di bawah usia lima tahun yang tinggal di kota Hawassa, wilayah Sidama, Ethiopia. Data dikumpulkan melalui wawancara dengan ibu anak, pemeriksaan fisik, dan pemeriksaan tinja.</t>
  </si>
  <si>
    <t>dalam penelitian ini adalah desain penelitian potong lintang berbasis komunitas</t>
  </si>
  <si>
    <t>Factors associated with syndemic anemia and stunting among children in
Myanmar: A cross-sectional study from a positive deviance approach ; Archives de Pédiatrie
Volume 30, Issue 6, August 2023, Pages 372-377 ; https://doi.org/10.1016/j.arcped.2023.03.010</t>
  </si>
  <si>
    <t>Zin Wai Htay;  Thinzar Swe; Thae Su Su Hninn; Maw Thoe Myar; Kyi Mar Wai</t>
  </si>
  <si>
    <t>mengetahui apakah paparan asap rokok meningkatkan risiko stunting pada anak-anak usia 25-59 bulan</t>
  </si>
  <si>
    <t xml:space="preserve">Permasalahan yang dibahas adalah stunting pada anak-anak di bawah usia lima tahun yang disebabkan oleh paparan asap rokok. Tujuan dari penelitian ini adalah untuk menganalisis hubungan antara paparan asap rokok dan stunting pada anak-anak usia 25-59 bulan. </t>
  </si>
  <si>
    <t>Water, hygiene and sanitation practices are associated with stunting among children of age 24-59 months in Lemo district, South Ethiopia, in 2021: community based cross sectional study ; BMC Nutrition Volume 9, Issue 1, December 2023 ; https://doi.org/10.1186/s40795-023-00677-1</t>
  </si>
  <si>
    <t>Woldesenbet, Biruk; Tolcha, Alemu; Tsegaye, Berhan</t>
  </si>
  <si>
    <t>Permasalahan :  informasi tentang prevalensi dan faktor-faktor yang berkontribusi terhadap stunting pada anak-anak usia 24-59 bulan di daerah tersebut masih sangat terbatas.
Tujuan Penelitian: menentukan prevalensi dan faktor-faktor yang berkontribusi terhadap stunting pada anak-anak usia 24-59 bulan di distrik Lemo, Ethiopia Selatan pada tahun 2021.</t>
  </si>
  <si>
    <t>Sampel penelitian terdiri dari 415 rumah tangga yang memiliki anak usia 24-59 bulan. Data dikumpulkan melalui wawancara dengan menggunakan kuesioner terstruktur</t>
  </si>
  <si>
    <t>desain penelitian potong lintang berbasis komunitas. Data dianalisis menggunakan uji chi-square dan regresi logistik.</t>
  </si>
  <si>
    <t xml:space="preserve"> mengetahui prevalensi dan faktor yang berhubungan dengan stunting pada anak usia 24-59 bulan di distrik Lemo, Ethiopia Selatan pada tahun 2021. Penelitian tersebut secara khusus mengkaji hubungan antara praktik air, kebersihan, dan sanitasi (WASH ) dan stunting</t>
  </si>
  <si>
    <t>Dietary patterns and childhood stunting in Zimbabwe ; BMC Nutrition Volume 8, Issue 1, December 2022 ; https://doi.org/10.1186/s40795-022-00607-7</t>
  </si>
  <si>
    <t>Marume, Anesu; Archary, Moherndran; Mahomed, Saajida</t>
  </si>
  <si>
    <t>Pola makan anak-anak Zimbabwe dan hubungannya dengan stunting</t>
  </si>
  <si>
    <t>Permasalahan: Stunting pada anak-anak di Zimbabwe dan hubungannya dengan pola makan .
Tujuan: Menentukan pola makan anak-anak Zimbabwe dan mengidentifikasi hubungan antara pola makan tersebut dengan stunting pada anak-anak</t>
  </si>
  <si>
    <t>Data dikumpulkan dari 450 anak berusia 6-59 bulan di Zimbabwe</t>
  </si>
  <si>
    <t xml:space="preserve">Penelitian ini menggunakan desain potong lintang (cross-sectional design) dan analisis faktor untuk mengidentifikasi pola makan </t>
  </si>
  <si>
    <t>Intervensi gizi seperti pendidikan kesehatan, konseling, dan pemberian makanan tambahan harus mencakup pendekatan holistik untuk pendidikan gizi yang tidak hanya fokus pada promosi diet seimbang tetapi juga perbaikan pola makan anak-anak</t>
  </si>
  <si>
    <t>Stunting and thinness in school-attending
adolescents in Addis Ababa ; BMC Nutrition Volume 8, Issue 1, December 2022 ; https://doi.org/10.1186/s40795-022-00653-1</t>
  </si>
  <si>
    <t>Kesimpulan dari penelitian ini adalah bahwa faktor-faktor PD dapat mencegah anemia sindemik pada anak-anak yang mengalami stunting di Myanmar. Oleh karena itu, upaya pencegahan dan pengobatan anemia sindemik dan stunting harus memperhatikan faktor-faktor PD ini. 
Riset lebih lanjut dapat dilakukan untuk mengidentifikasi faktor-faktor PD lainnya yang dapat mencegah anemia sindemik pada anak-anak yang mengalami stunting di Myanmar dan negara-negara lain dengan konteks serupa. Selain itu, penelitian lebih lanjut juga dapat dilakukan untuk mengevaluasi efektivitas intervensi yang bertujuan untuk mencegah dan mengobati anemia sindemik dan stunting pada anak-anak.</t>
  </si>
  <si>
    <t>Yallew, Walelegn Worku; Tadesse, Amare Worku; Noor, Ramadhani Abdallah; Fawzi, Wafaie; Berhane, Yemane</t>
  </si>
  <si>
    <t>Rumusan masalah dalam penelitian ini adalah untuk mengetahui prevalensi stunting dan kekurusan pada remaja yang bersekolah di Addis Ababa, serta faktor-faktor yang berhubungan dengan kondisi gizi tersebut.
Tujuan : untuk mengevaluasi prevalensi stunting dan kekurusan pada remaja yang bersekolah di Addis Ababa, ibu kota Ethiopia</t>
  </si>
  <si>
    <t>remaja berusia 10-14 tahun yang bersekolah di 20 sekolah pemerintah di Addis Ababa.</t>
  </si>
  <si>
    <t xml:space="preserve">Studi potong lintang, sampel diambil dengan menggunakan perhitungan ukuran sampel yang memperhitungkan prevalensi stunting sebesar 7,2%, tingkat signifikansi 2%, efek desain sebesar 1,5, 20 kelompok sekolah, dan tingkat non-respons sebesar 10%. </t>
  </si>
  <si>
    <t>Kesimpulan dari penelitian ini adalah bahwa stunting dan kekurusan masih menjadi masalah gizi yang signifikan pada remaja yang bersekolah di Addis Ababa. Oleh karena itu, diperlukan upaya untuk meningkatkan akses dan kualitas makanan, serta meningkatkan pengetahuan dan kesadaran tentang gizi yang sehat pada remaja dan keluarga mereka.
Riset lebih lanjut dapat dilakukan untuk mengevaluasi efektivitas intervensi gizi pada remaja yang bersekolah di Addis Ababa, serta untuk mengevaluasi faktor-faktor lain yang berhubungan dengan kondisi gizi pada remaja di Ethiopia.</t>
  </si>
  <si>
    <t>The prevalence and socio-demographic risk factors of coexistence of stunting, wasting, and underweight among children under five years in Bangladesh: a cross-sectional study ; BMC Nutrition Volume 8, Issue 1, December 2022 ; https://doi.org/10.1186/s40795-022-00584-x</t>
  </si>
  <si>
    <t>Chowdhury, Mohammad Rocky Khan; Rahman, Md Shafiur; Billah, Baki; Kabir, Russell; Perera, Nirmala K. P.; Kader, Manzur</t>
  </si>
  <si>
    <t>untuk mengetahui prevalensi dan faktor risiko sosiodemografi dari kondisi gabungan stunting, wasting, dan underweight pada anak di bawah lima tahun di Bangladesh</t>
  </si>
  <si>
    <t>Rumusan masalah dari artikel ini adalah untuk mengetahui prevalensi dan faktor risiko sosiodemografi dari kondisi gabungan stunting, wasting, dan underweight pada anak di bawah lima tahun di Bangladesh. Tujuan penelitian ini adalah untuk memberikan panduan yang berguna bagi pengembangan intervensi dari tingkat rumah tangga hingga tingkat sosial untuk mengurangi konsekuensi kesehatan jangka pendek dan jangka panjang dari kondisi gabungan tersebut.</t>
  </si>
  <si>
    <t>sampel sebanyak 3.000 anak di bawah lima tahun yang dipilih secara acak dari seluruh wilayah Bangladesh. Data dikumpulkan melalui wawancara dengan ibu anak dan pengukuran antropometri pada anak</t>
  </si>
  <si>
    <t xml:space="preserve">desain penelitian potong lintang (cross-sectional study) </t>
  </si>
  <si>
    <t>Kesimpulan dari penelitian ini adalah bahwa kondisi gabungan stunting, wasting, dan underweight masih menjadi masalah kesehatan masyarakat yang signifikan di Bangladesh. Faktor risiko yang berpengaruh pada kondisi gabungan tersebut adalah multi-faset dan memerlukan intervensi yang berbasis bukti. Penelitian lebih lanjut diperlukan untuk memahami tren dan magnitudo risiko faktor-faktor tersebut dari waktu ke waktu dan untuk mengembangkan intervensi yang efektif dan terkoordinasi.</t>
  </si>
  <si>
    <t>Cigarette smoke exposure and increased risks of stunting among under-five children ; Clinical Epidemiology and Global Health Volume 8, Issue 3, September 2020, Pages 943-948 ; https://doi.org/10.1016/j.cegh.2020.02.029</t>
  </si>
  <si>
    <t>Dyah Dwi Astuti; Tri Widyastuti Handayani; Duwi Pudji Astuti</t>
  </si>
  <si>
    <t xml:space="preserve">Data dikumpulkan dari 123 anak usia 25-59 bulan dengan teknik pengambilan sampel acak bertingkat. </t>
  </si>
  <si>
    <t>Metode yang digunakan adalah studi potong lintang dengan menggunakan kuesioner The Secondhand Smoke Exposure Scale untuk menilai paparan asap rokok.</t>
  </si>
  <si>
    <t>Correlates of stunting among under-five children in Bangladesh: a multilevel approach ; BMC Nutrition Volume 5, Issue 1, 26 November 2019 ; https://doi.org/10.1186/s40795-019-0304-9</t>
  </si>
  <si>
    <t>Sultana, Papia; Rahman, Md. Mahfuzur; Akter, Jahanara</t>
  </si>
  <si>
    <t>faktor risiko stunting pada anak di bawah lima tahun di Bangladesh.</t>
  </si>
  <si>
    <t>Permasalahan: Masalah gizi anak masih menjadi penyebab utama morbiditas dan mortalitas anak di Bangladesh.
Tujuan: Penelitian ini bertujuan untuk mengidentifikasi faktor risiko yang signifikan dari stunting pada anak di bawah lima tahun di Bangladesh.</t>
  </si>
  <si>
    <t>Data yang digunakan dalam penelitian ini berasal dari Survei Demografi dan Kesehatan Bangladesh (BDHS) 2014, yang merupakan survei yang mewakili seluruh populasi yang tinggal di unit perumahan non-institusional di negara tersebut.</t>
  </si>
  <si>
    <t>Penelitian ini menggunakan model regresi logistik multilevel umum untuk mengidentifikasi faktor risiko stunting pada anak di bawah lima tahun di Bangladesh.</t>
  </si>
  <si>
    <t>Kesimpulan: Penelitian ini menyimpulkan bahwa intervensi yang ditujukan untuk mengurangi stunting pada anak di bawah lima tahun di Bangladesh harus memperhatikan faktor risiko yang signifikan yang telah diidentifikasi dalam penelitian ini, dan harus dilakukan secara terintegrasi dan berkelanjutan.</t>
  </si>
  <si>
    <t>Determinants of stunting and wasting in street children in Northwest Ethiopia: A community-based study ; Nutrition Volume 94, February 2022 ; https://doi.org/10.1016/j.nut.2021.111532</t>
  </si>
  <si>
    <t xml:space="preserve">Rumusan masalah dari artikel ini adalah untuk menemukan faktor-faktor utama yang berkontribusi pada stunting pada anak-anak di bawah usia 5 tahun di Republik Demokratik Kongo (DRC). Tujuan penelitian adalah untuk secara sistematis menyelidiki bagaimana stunting beroperasi pada tingkat penentuan yang berbeda dan mengidentifikasi faktor-faktor utama yang berkontribusi pada perkembangan stunting. </t>
  </si>
  <si>
    <t>Metode yang digunakan dalam penelitian ini adalah analisis data dari Survei. Hubungan antara stunting dan karakteristik biodemografi dinilai menggunakan regresi logistik.</t>
  </si>
  <si>
    <t>data dari Survei Kesehatan Demografi DRC 2013-14 yang mencakup pengukuran antropometri untuk 9030 anak di bawah usia 5 tahun. Skor Z Tinggi untuk Usia dihitung dan diklasifikasikan sesuai dengan pedoman WHO</t>
  </si>
  <si>
    <t>untuk mengevaluasi hubungan antara inflamasi usus dan faktor-faktor terkait anak dan ibu dengan stunting pada anak di bawah usia lima tahun di kota Hawassa, wilayah Sidama, Ethiopia.</t>
  </si>
  <si>
    <t>menemukan faktor-faktor utama yang berkontribusi pada stunting pada anak-anak di bawah usia 5 tahun di Republik Demokratik Kongo (DRC)</t>
  </si>
  <si>
    <t>Hallgeir Kismul, et al (2018)</t>
  </si>
  <si>
    <t>Lokasi geografis</t>
  </si>
  <si>
    <t>Berhanu Kibemo Lefebo et al. (2023)</t>
  </si>
  <si>
    <t>mengevaluasi hubungan antara inflamasi usus dan faktor-faktor terkait anak dan ibu dengan stunting pada anak di bawah usia lima tahun</t>
  </si>
  <si>
    <t>Diare</t>
  </si>
  <si>
    <t>Inflamasi</t>
  </si>
  <si>
    <t xml:space="preserve"> Stunting and associated factors among 6–23 month old children in drought vulnerable kebeles of Demba Gofa district, southern Ethiopia ;</t>
  </si>
  <si>
    <t>Perish of perish berdasarkan jumlah sitasi tertinggi</t>
  </si>
  <si>
    <t>Identifying causal risk factors for stunting in children under five years of age in South Jakarta, Indonesia ; Enfermería Clínica
Volume 29, Supplement 2, September 2019, Pages 606-611 ; https://doi.org/10.1016/j.enfcli.2019.04.093</t>
  </si>
  <si>
    <t xml:space="preserve">Ressa Andriyanu Utami; Agus Setiawan; Poppy Fitriyani </t>
  </si>
  <si>
    <t>menemukan faktor risiko yang dapat diubah untuk mencegah stunting pada anak-anak di wilayah Jakarta</t>
  </si>
  <si>
    <t xml:space="preserve"> Permasalahan : faktor risiko yang menyebabkan stunting pada anak di bawah lima tahun di Jakarta Selatan, Indonesia. Tujuan dari penelitian ini adalah untuk mengidentifikasi korelasi antara karakteristik keluarga, pola asuh gizi, dan stunting pada anak di bawah lima tahun di Jakarta Selatan</t>
  </si>
  <si>
    <t>Analisis data korelasi dilakukan dengan menggunakan uji-t independen, uji chi-square, dan model regresi logistik berganda</t>
  </si>
  <si>
    <t xml:space="preserve">Penelitian ini menggunakan desain penelitian deskriptif observasional dan pendekatan lintas-seksi berbasis masyarakat. Sebanyak 192 sampel diikutsertakan dalam penelitian ini, yang dipilih menggunakan teknik pengambilan sampel klaster. Alat ukur yang digunakan untuk mengumpulkan data adalah Family Characteristics and Nutritional Parenting Tools. </t>
  </si>
  <si>
    <t>Hasil penelitian menunjukkan bahwa ada hubungan antara perilaku pola asuh gizi dan kejadian stunting pada anak di bawah lima tahun di Jakarta Selatan, Indonesia. Penelitian ini sejalan dengan penelitian yang dilakukan di Bangladesh yang menunjukkan bahwa keragaman diet yang rendah adalah prediktor kuat stunting pada anak-anak di daerah pedesaan.</t>
  </si>
  <si>
    <t>perubahan perilaku pola asuh gizi dapat membantu mencegah stunting pada anak-anak di bawah lima tahun di Jakarta Selatan, Indonesia. Oleh karena itu, intervensi kesehatan masyarakat yang bertujuan untuk meningkatkan pola asuh gizi pada keluarga dengan anak-anak di bawah lima tahun dapat membantu mengurangi angka stunting di wilayah tersebut.</t>
  </si>
  <si>
    <t xml:space="preserve">Alphonse Nshimyiryo; Bethany Hedt-Gauthier; Christine Mutaganzwa; Catherine M. Kirk; Kathryn Beck; Albert Ndayisaba; Joel Mubiligi; Fredrick Kateera;  Ziad El-Khatib </t>
  </si>
  <si>
    <t xml:space="preserve">mengevaluasi hubungan antara karakteristik anak-anak dan stunting menggunakan analisis regresi logistik. </t>
  </si>
  <si>
    <t>Permasalahan yang dibahas dalam artikel tersebut adalah stunting pada anak-anak di bawah usia lima tahun di Rwanda. Tujuan penelitian ini adalah untuk mengidentifikasi faktor risiko yang berkontribusi terhadap stunting pada anak-anak di Rwanda</t>
  </si>
  <si>
    <t xml:space="preserve">data dari Rwanda Demographic and Health Survey (DHS) 2014-2015. Data yang digunakan dalam penelitian ini bersifat cross-sectional, yaitu data yang dikumpulkan pada satu titik waktu tertentu. Responden dalam penelitian ini adalah anak-anak di bawah usia lima tahun di Rwanda. Data yang dikumpulkan meliputi karakteristik anak-anak seperti jenis kelamin, usia, berat lahir, dan tinggi badan, serta karakteristik ibu seperti tinggi badan dan pendidikan. </t>
  </si>
  <si>
    <t>Penelitian ini menggunakan metode analisis regresi logistik untuk mengevaluasi hubungan antara karakteristik anak-anak dan stunting. Penelitian ini menggunakan analisis multivariat untuk mengontrol faktor-faktor yang mempengaruhi stunting pada anak-anak. Selain itu, penelitian ini juga menggunakan analisis komponen utama (PCA) untuk mengukur status sosial ekonomi (SES) responden.</t>
  </si>
  <si>
    <t>Kesimpulan dari penelitian ini adalah bahwa stunting masih menjadi masalah kesehatan masyarakat yang serius di Rwanda, dan upaya pencegahan dan intervensi harus difokuskan pada faktor risiko yang telah diidentifikasi.</t>
  </si>
  <si>
    <t>Abdulazeez Imam; Fatimah Hassan-Hanga; Azeezat Sallahdeen; Zubaida L Farouk</t>
  </si>
  <si>
    <t>A cross-sectional study of prevalence and risk factors for stunting among under-fives attending acute malnutrition treatment programmes in north-western Nigeria: Should these programmes be
adapted to also manage stunting? ; International Health Vol. 13, Isseu 3, pp 262-271 ; https://doi.org/10.1093/inthealth/ihaa043</t>
  </si>
  <si>
    <t xml:space="preserve">Fokus penelitian adalah pada anak-anak di bawah usia lima tahun yang mengikuti program pengobatan malnutrisi akut di Nigeria bagian barat laut. </t>
  </si>
  <si>
    <t xml:space="preserve">Permasalahan yang dibahas dalam artikel tersebut adalah tingginya prevalensi stunting pada anak-anak di bawah usia lima tahun yang mengikuti program pengobatan malnutrisi akut di Nigeria bagian barat laut. Tujuan dari penelitian ini adalah untuk menentukan prevalensi stunting dan faktor risiko yang terkait dengan stunting pada anak-anak yang mengikuti program pengobatan malnutrisi akut di Nigeria bagian barat laut, serta untuk mengevaluasi apakah program tersebut perlu disesuaikan untuk mengatasi stunting. </t>
  </si>
  <si>
    <t xml:space="preserve">ata cross-sectional yang diperoleh dari 2 pusat pengobatan malnutrisi akut (OTP) di Nigeria bagian barat laut. Sampel penelitian terdiri dari 1.008 anak di bawah usia lima tahun yang mengikuti program pengobatan malnutrisi akut di kedua pusat tersebut. </t>
  </si>
  <si>
    <t>Data yang diperoleh kemudian dianalisis menggunakan uji statistik chi-square dan regresi logistik untuk menentukan faktor risiko yang terkait dengan stunting pada anak-anak yang mengikuti program pengobatan malnutrisi akut di Nigeria bagian barat laut.</t>
  </si>
  <si>
    <t xml:space="preserve">Hasil penelitian menunjukkan bahwa prevalensi stunting pada anak-anak yang mengikuti program tersebut sangat tinggi, dan faktor risiko yang terkait dengan stunting antara lain adalah usia ibu, pendidikan ibu, dan status sosial ekonomi keluarga. </t>
  </si>
  <si>
    <t>program pengobatan malnutrisi akut perlu disesuaikan untuk juga mengatasi stunting pada anak-anak yang mengikuti program tersebut. Hal ini perlu dilakukan mengingat tingginya prevalensi stunting pada anak-anak di bawah usia lima tahun di Nigeria bagian barat laut dan dampak buruk yang ditimbulkan oleh stunting pada kesehatan dan perkembangan anak.</t>
  </si>
  <si>
    <t>Risk Factors for Stunting in Children under the Age of 5 in Rural Guatemalan Highlands ; Annals of Global Health.
Vol. 86 Isseu 1, pp 1–5; DOI: https://doi.org/10.5334/aogh.2433</t>
  </si>
  <si>
    <t>Emily A. Kragel; Alexandra Merz; Dylan M. N. Flood; Kelley E. Haven</t>
  </si>
  <si>
    <t>menentukan faktor risiko yang berkontribusi pada stunting, seperti nutrisi yang tidak memadai, risiko penyakit menular yang tinggi, kurangnya pemberian ASI, dan kurangnya pemanfaatan perawatan prenatal.</t>
  </si>
  <si>
    <t xml:space="preserve">Permasalahan dari artikel "Risk Factors for Stunting in Children under the Age of 5 in Rural Guatemalan Highlands" adalah prevalensi stunting pada anak-anak di daerah dataran tinggi Guatemala yang tinggi, terutama pada populasi pribumi. Tujuan dari penelitian ini adalah untuk mengidentifikasi prevalensi dan faktor risiko untuk pertumbuhan terhambat pada anak-anak di daerah sekitar Danau Atitlán, Guatemala. </t>
  </si>
  <si>
    <t>Penelitian dilakukan pada 300 anak di daerah sekitar Danau Atitlán, Guatemala, yang berusia di bawah 5 tahun. Data dikumpulkan melalui wawancara dengan ibu anak, pengukuran antropometri, dan pemeriksaan kesehatan.</t>
  </si>
  <si>
    <t>desain cross-sectional, di mana data dikumpulkan pada satu titik waktu tertentu. Analisis data dilakukan dengan menggunakan uji chi-square dan regresi logistik untuk menentukan faktor risiko yang berkontribusi pada stunting pada anak-anak di daerah tersebut.</t>
  </si>
  <si>
    <t>Hasil penelitian menunjukkan bahwa prevalensi stunting pada anak-anak di daerah tersebut adalah 47,6%. Faktor risiko yang signifikan untuk stunting meliputi kurangnya pemberian ASI eksklusif, kurangnya pemanfaatan perawatan prenatal, dan tingkat keparahan penyakit yang lebih tinggi. Namun, faktor risiko lainnya seperti nutrisi yang tidak memadai dan sanitasi yang buruk tidak terbukti signifikan dalam penelitian ini.</t>
  </si>
  <si>
    <t>intervensi kesehatan masyarakat yang lebih efektif harus dilakukan untuk mengurangi prevalensi stunting pada anak-anak di daerah tersebut. Intervensi tersebut dapat berupa peningkatan pemberian ASI eksklusif, peningkatan pemanfaatan perawatan prenatal, dan peningkatan akses ke sumber daya nutrisi yang murah. Selain itu, intervensi komunitas juga dapat meningkatkan sanitasi atau faktor-faktor yang berkontribusi pada tingkat penyakit menular.</t>
  </si>
  <si>
    <t>Tuhinur Rahman Chowdhury; Sayan Chakrabarty; Muntaha Rakib; Stephen Winn; Jason Bennie</t>
  </si>
  <si>
    <t xml:space="preserve">Risk factors for child stunting in Bangladesh: an analysis using MICS 2019 data ; Archives of Public Health Volume 80, Issue 1, December 2022, Article number 126, pp 1-12 ; https://doi.org/10.1186/s13690-022-00870-x
</t>
  </si>
  <si>
    <t>mengidentifikasi faktor-faktor yang dapat membantu dalam merumuskan kebijakan untuk mengatasi masalah gizi buruk kronis pada anak di Bangladesh.</t>
  </si>
  <si>
    <t>Permasalahan yang dibahas dalam artikel tersebut adalah masalah gizi buruk kronis pada anak di Bangladesh, khususnya stunting.  Tujuan dari penelitian ini adalah untuk mengeksplorasi faktor risiko yang terkait dengan stunting dan stunting berat pada sampel besar anak di bawah usia lima tahun di Bangladesh.</t>
  </si>
  <si>
    <t>Data yang digunakan dalam penelitian ini berasal dari Multiple Indicators Cluster Survey (MICS) 2018-19 [18]. MICS adalah survei yang dilakukan oleh Badan PBB untuk Anak-Anak (UNICEF) untuk mengumpulkan data tentang kesehatan, pendidikan, dan kesejahteraan anak di berbagai negara.</t>
  </si>
  <si>
    <t>Metode yang digunakan dalam penelitian ini adalah analisis regresi logistik biner untuk mengevaluasi hubungan antara faktor risiko dan stunting pada anak di Bangladesh.</t>
  </si>
  <si>
    <t xml:space="preserve">Hasil penelitian menunjukkan bahwa usia anak 24-48 bulan dan anak-anak dari divisi Sylhet memiliki risiko lebih tinggi terkena stunting. Selain itu, faktor risiko lain yang terkait dengan stunting termasuk tingkat pendidikan ibu, status sosial ekonomi, dan sanitasi lingkungan. </t>
  </si>
  <si>
    <t>Kesimpulan dari penelitian ini adalah bahwa perlu ada intervensi dan kebijakan yang tepat untuk mengatasi masalah gizi buruk kronis pada anak di Bangladesh, dengan memperhatikan faktor-faktor risiko yang telah diidentifikasi.</t>
  </si>
  <si>
    <t>Yunhee Kang; Víctor M. Aguayo; Rebecca K. Campbell; Laigden Dzed; Vandana Joshi 4; Jillian L. Waid; Suvadra Datta Gupta; Nancy J. Haselow
Keith P. West, Jr.1</t>
  </si>
  <si>
    <t>Nutritional status and risk factors for stunting in preschool children in Bhutan ; Maternal and Child Nutrition Volume 14, November 2018 Article number e12653, pp 1-12 ; https://doi.org/10.1186/s13690-022-00870-x</t>
  </si>
  <si>
    <t>mengevaluasi prevalensi stunting dan faktor risiko yang terkait dengan stunting pada anak-anak prasekolah di Bhutan.</t>
  </si>
  <si>
    <t>Permasalahan : tingginya prevalensi stunting pada anak-anak prasekolah di Bhutan, meskipun terjadi penurunan angka kekurangan gizi sejak tahun 1986. Meskipun berat badan untuk tinggi anak-anak Bhutan mengikuti referensi pertumbuhan anak WHO, stunting masih terjadi pada satu dari lima anak di bawah usia lima tahun di Bhutan. Oleh karena itu, penelitian ini bertujuan untuk mengevaluasi prevalensi stunting dan faktor risiko yang terkait dengan stunting pada anak-anak prasekolah di Bhutan, serta mengevaluasi faktor risiko tambahan terhadap stunting yang perlu dipahami dan dipertimbangkan dalam perancangan intervensi gizi dan lainnya yang dimaksudkan untuk mengurangi stunting.</t>
  </si>
  <si>
    <t>Sampel penelitian ini adalah anak-anak prasekolah di Bhutan yang berusia antara 0 hingga 59 bulan. Sampel dipilih dengan metode multistage sampling, dengan total 1.506 anak yang diidentifikasi dalam rumah tangga yang disurvei.
Data dikumpulkan melalui survei gizi nasional (National Nutrition Survey/NNS) pada tahun 2015. Data yang dikumpulkan meliputi antropometri, informasi demografi, dan faktor risiko terkait stunting.</t>
  </si>
  <si>
    <t>Data dianalisis menggunakan program SPSS versi 22.0. Analisis dilakukan dengan menggunakan uji chi-square dan regresi logistik untuk mengevaluasi faktor risiko terkait stunting pada anak-anak prasekolah di Bhutan.</t>
  </si>
  <si>
    <t xml:space="preserve">Hasil penelitian menunjukkan bahwa meskipun terjadi penurunan angka kekurangan gizi sejak tahun 1986, stunting masih terjadi pada satu dari lima anak di bawah usia lima tahun di Bhutan. Risiko anak-anak Bhutan yang mengalami stunting meningkat seiring bertambahnya usia, namun berat badan untuk tinggi anak-anak Bhutan mengikuti referensi pertumbuhan anak WHO, yang menunjukkan bahwa faktor selain defisit energi mungkin membatasi pencapaian pertumbuhan linear normal. </t>
  </si>
  <si>
    <t>Kesimpulan dari penelitian ini adalah bahwa faktor risiko tambahan terhadap stunting perlu dipahami dan dipertimbangkan dalam perancangan intervensi gizi dan lainnya yang dimaksudkan untuk mengurangi stunting di hadapan status berat badan untuk tinggi anak-anak yang tampaknya memadai.</t>
  </si>
  <si>
    <t>Zin Wai Htay et.al (2023)</t>
  </si>
  <si>
    <t>mengidentifikasi faktor-faktor yang dapat mencegah anemia sindemik pada anak-anak yang mengalami stunting di Myanmar menggunakan pendekatan positive deviance (PD)</t>
  </si>
  <si>
    <t>Keluarga dalam rumah tangga</t>
  </si>
  <si>
    <t xml:space="preserve">memberikan wawasan tentang faktor-faktor yang dapat mencegah anemia sindemik pada anak-anak yang mengalami stunting di Myanmar menggunakan pendekatan positive deviance (PD). </t>
  </si>
  <si>
    <t xml:space="preserve">rumusan masalah yang bertujuan untuk mengidentifikasi faktor-faktor yang dapat mencegah anemia sindemik pada anak-anak yang mengalami stunting di Myanmar. Tujuan penelitian ini adalah untuk memberikan wawasan tentang faktor-faktor yang dapat mencegah anemia sindemik pada anak-anak yang mengalami stunting di Myanmar menggunakan pendekatan positive deviance (PD). </t>
  </si>
  <si>
    <t xml:space="preserve">data sekunder dari Survei Demografi dan Kesehatan Myanmar tahun 2016. Survei ini menggunakan metode pengambilan sampel dua tahap dengan unit sampling primer (PSU) yang diambil dari kerangka sensus untuk tahap pertama dan pada tahap kedua, sejumlah rumah tangga dari setiap klaster dipilih. </t>
  </si>
  <si>
    <t xml:space="preserve">Data yang diperoleh dianalisis menggunakan regresi logistik untuk mengidentifikasi faktor-faktor yang berhubungan dengan anemia sindemik dan stunting pada anak-anak di Myanmar. 
Variabel yang digunakan dalam analisis meliputi faktor-faktor sosioekonomi ibu (usia, tempat tinggal, kuantil kekayaan, pendidikan), faktor-faktor kesehatan (indeks massa tubuh ibu [BMI], status anemia ibu, jumlah kunjungan antenatal, praktik pemberian ASI, riwayat ibu menerima tablet antelmintik dan zat besi, tempat persalinan, dan tingkat keparahan stunting). </t>
  </si>
  <si>
    <t>Woldesenbet, Biruk et.al (2023)</t>
  </si>
  <si>
    <t>Anak usia 24-59 bulan</t>
  </si>
  <si>
    <t>menentukan prevalensi dan faktor-faktor yang berkontribusi terhadap stunting pada anak-anak usia 24-59 bulan di distrik Lemo, Ethiopia Selatan pada tahun 2021</t>
  </si>
  <si>
    <t>Cuci Tangan</t>
  </si>
  <si>
    <t>Marume, Anesu et.al (2022)</t>
  </si>
  <si>
    <t>Menentukan pola makan anak-anak Zimbabwe dan mengidentifikasi hubungan antara pola makan tersebut dengan stunting pada anak-anak</t>
  </si>
  <si>
    <t>Pola Makan</t>
  </si>
  <si>
    <t>Yallew, Walelegn Worku et.al (2022)</t>
  </si>
  <si>
    <t>Remaja usia 10-14 tahun</t>
  </si>
  <si>
    <t>mengevaluasi prevalensi stunting dan kekurusan pada remaja yang bersekolah di Addis Ababa, ibu kota Ethiopia</t>
  </si>
  <si>
    <t>Asupan Makanan</t>
  </si>
  <si>
    <t>Chowdhury et.al (2022)</t>
  </si>
  <si>
    <t>memberikan panduan yang berguna bagi pengembangan intervensi dari tingkat rumah tangga hingga tingkat sosial untuk mengurangi  stunting, wasting, dan underweight pada anak di bawah lima tahun di Bangladesh</t>
  </si>
  <si>
    <t>Berat badan lahir</t>
  </si>
  <si>
    <t>Dyah Dwi Astuti et.al (2020)</t>
  </si>
  <si>
    <t>Anak usia 25-59 bulan</t>
  </si>
  <si>
    <t>menganalisis hubungan antara paparan asap rokok dan stunting pada anak-anak usia 25-59 bulan</t>
  </si>
  <si>
    <t>Sultana, Papia et.al (2019)</t>
  </si>
  <si>
    <t xml:space="preserve"> mengidentifikasi faktor risiko yang signifikan dari stunting pada anak di bawah lima tahun di Bangladesh.</t>
  </si>
  <si>
    <t>Alphonse Nshimyiryo et.al (2019)</t>
  </si>
  <si>
    <t>TB Ibu</t>
  </si>
  <si>
    <t>Ressa Andriyanu Utami et.al (2019)</t>
  </si>
  <si>
    <t>mengidentifikasi korelasi antara karakteristik keluarga, pola asuh gizi, dan stunting pada anak di bawah lima tahun di Jakarta Selatan</t>
  </si>
  <si>
    <t>mengidentifikasi faktor risiko yang berkontribusi terhadap stunting pada anak-anak di Rwanda</t>
  </si>
  <si>
    <t>Abdulazeez Imam et.al. (2021)</t>
  </si>
  <si>
    <t>menentukan prevalensi stunting dan faktor risiko yang terkait dengan stunting pada anak-anak yang mengikuti program pengobatan malnutrisi akut di Nigeria bagian barat laut</t>
  </si>
  <si>
    <t>Jenis kelamin Anak</t>
  </si>
  <si>
    <t>Emily A. Kragel et.al. (2020)</t>
  </si>
  <si>
    <t xml:space="preserve">mengidentifikasi prevalensi dan faktor risiko untuk pertumbuhan terhambat pada anak-anak di daerah sekitar Danau Atitlán, Guatemala. </t>
  </si>
  <si>
    <t>Perawatan Prenatal Ibu</t>
  </si>
  <si>
    <t>Keparahan Penyakit</t>
  </si>
  <si>
    <t>Tuhinur Rahman Chowdhury et.al. (2022)</t>
  </si>
  <si>
    <t>mengeksplorasi faktor risiko yang terkait dengan stunting dan stunting berat pada sampel besar anak di bawah usia lima tahun di Bangladesh.</t>
  </si>
  <si>
    <t>Yunhee Kang et.al. (2018)</t>
  </si>
  <si>
    <t>Anak usia 0-59 bulan</t>
  </si>
  <si>
    <t>mengevaluasi prevalensi stunting dan faktor risiko yang terkait dengan stunting pada anak-anak prasekolah di Bhutan</t>
  </si>
  <si>
    <t>Pekerjaan orang tua</t>
  </si>
  <si>
    <t>2022      Q1</t>
  </si>
  <si>
    <t>2023      Q1</t>
  </si>
  <si>
    <t>2023   Q1</t>
  </si>
  <si>
    <t>2023    Q1</t>
  </si>
  <si>
    <t>2022  Q1</t>
  </si>
  <si>
    <t>2022   Q1</t>
  </si>
  <si>
    <t>2022    Q1</t>
  </si>
  <si>
    <t>2018  Q1</t>
  </si>
  <si>
    <t>2023  Q2/Q3</t>
  </si>
  <si>
    <t xml:space="preserve">2023  Q2  </t>
  </si>
  <si>
    <t>2022  Q2/Q3</t>
  </si>
  <si>
    <t>2022   Q2/Q3</t>
  </si>
  <si>
    <t>2020   Q2</t>
  </si>
  <si>
    <t>2019   Q2/Q3</t>
  </si>
  <si>
    <t>2019   Q1</t>
  </si>
  <si>
    <t>2019    Q3</t>
  </si>
  <si>
    <t>2021  Q1/Q2</t>
  </si>
  <si>
    <t xml:space="preserve">2022   Q2 </t>
  </si>
  <si>
    <t>Social determinants of stunting in Malay children aged &lt;5 years in Malaysia ; Nutrition
Volume 111, July 2023 ; pp 1-8 https://doi.org/10.1016/j.nut.2023.112030</t>
  </si>
  <si>
    <t>Risk factors for stunting among children under five years: a cross-sectional population-based study in Rwanda using the 2015 Demographic and Health Survey ; BMC Public Health Volume 19, Issue 1, 11 February 2019, Article number 175, pp 1-10 ; DOI : 10.1186/s12889-019-6504-z</t>
  </si>
  <si>
    <r>
      <t xml:space="preserve">Hasil dari penelitian ini menunjukkan bahwa dari 2058 artikel yang diidentifikasi, </t>
    </r>
    <r>
      <rPr>
        <sz val="11"/>
        <color theme="1"/>
        <rFont val="Calibri"/>
        <family val="2"/>
        <scheme val="minor"/>
      </rPr>
      <t xml:space="preserve">hanya 12 artikel yang memenuhi kriteria inklusi dan eksklusi. Dari 9 studi yang mengeksplorasi hubungan antara anemia pada ibu hamil dan stunting pada anak, 7 studi menunjukkan adanya hubungan antara anemia pada ibu hamil dan stunting pada anak, sedangkan 2 studi menunjukkan adanya hubungan antara anemia pada ibu hamil dan panjang lahir. Namun, 3 studi menunjukkan tidak adanya hubungan antara anemia pada ibu hamil dan stunting pada bayi dan anak di bawah usia 5 tahun. </t>
    </r>
  </si>
  <si>
    <r>
      <t xml:space="preserve">Hasil penelitian menunjukkan bahwa prevalensi stunting dan wasting pada anak usia 1 hingga 5 tahun di Nkwanta South Municipality sangat tinggi, yaitu masing-masing sebesar 33,5% dan 12,5%. </t>
    </r>
    <r>
      <rPr>
        <sz val="11"/>
        <color theme="1"/>
        <rFont val="Calibri"/>
        <family val="2"/>
        <scheme val="minor"/>
      </rPr>
      <t>Faktor yang mempengaruhi terjadinya stunting adalah status pekerjaan orang tua, jumlah anak dalam rumah tangga, umur anak, jarak kelahiran, pemberian ASI eksklusif, status vaksinasi anak, dan diare berulang. Faktor yang mempengaruhi wasting adalah tingkat pendidikan orang tua, status pekerjaan orang tua, umur anak, jarak kelahiran, pemberian ASI eksklusif, nafsu makan buruk, status vaksinasi anak, dan diare berulang.</t>
    </r>
  </si>
  <si>
    <r>
      <t xml:space="preserve">Hasil penelitian menunjukkan bahwa </t>
    </r>
    <r>
      <rPr>
        <sz val="11"/>
        <color theme="1"/>
        <rFont val="Calibri"/>
        <family val="2"/>
        <scheme val="minor"/>
      </rPr>
      <t>faktor-faktor sosial seperti jenis kelamin, lokasi geografis, paparan layar, pekerjaan ibu, konsumsi susu formula, dan konsumsi daging berkaitan dengan stunting pada anak-anak etnis Melayu berusia di bawah 5 tahun di Malaysia. Faktor-faktor ini berbeda-beda antara kelompok usia anak-anak.</t>
    </r>
  </si>
  <si>
    <r>
      <t>Hasil penelitian menunjukkan bahwa fa</t>
    </r>
    <r>
      <rPr>
        <sz val="11"/>
        <color theme="1"/>
        <rFont val="Calibri"/>
        <family val="2"/>
        <scheme val="minor"/>
      </rPr>
      <t xml:space="preserve">ktor-faktor seperti usia, jenis kelamin, status sosial ekonomi, dan akses terhadap layanan kesehatan berkontribusi terhadap stunting dan wasting pada anak jalanan di Ethiopia. </t>
    </r>
  </si>
  <si>
    <r>
      <t xml:space="preserve">Hasil penelitian menunjukkan bahwa </t>
    </r>
    <r>
      <rPr>
        <sz val="11"/>
        <color theme="1"/>
        <rFont val="Calibri"/>
        <family val="2"/>
        <scheme val="minor"/>
      </rPr>
      <t xml:space="preserve">faktor risiko yang signifikan untuk stunting di Rwanda meliputi tingkat pendidikan ibu, status ekonomi keluarga, sanitasi, dan akses ke air bersih. Selain itu, hasil prediksi spasial menunjukkan bahwa ada variasi spasial yang signifikan dalam prevalensi stunting di Rwanda, dengan beberapa wilayah yang memiliki tingkat stunting yang lebih tinggi daripada yang lain. </t>
    </r>
  </si>
  <si>
    <r>
      <t xml:space="preserve">Hasil penelitian menunjukkan bahwa terdapat hubungan yang signifikan antara anemia dan stunting pada anak di bawah lima tahun di Lesotho. </t>
    </r>
    <r>
      <rPr>
        <sz val="11"/>
        <color theme="1"/>
        <rFont val="Calibri"/>
        <family val="2"/>
        <scheme val="minor"/>
      </rPr>
      <t xml:space="preserve">Faktor-faktor sosial ekonomi dan demografi seperti tingkat pendidikan ibu, status pekerjaan ibu, dan status gizi anak juga terkait dengan anemia dan stunting. Namun, tidak ada efek interaksi yang signifikan antara variabel independen. </t>
    </r>
  </si>
  <si>
    <r>
      <t xml:space="preserve">Hasil penelitian menunjukkan bahwa prevalensi terkumpul stunting pada anak-anak usia 6-59 bulan di Sub-Sahara Afrika adalah 29,5%. </t>
    </r>
    <r>
      <rPr>
        <sz val="11"/>
        <color theme="1"/>
        <rFont val="Calibri"/>
        <family val="2"/>
        <scheme val="minor"/>
      </rPr>
      <t xml:space="preserve">Faktor-faktor yang terkait dengan stunting meliputi usia anak, jenis kelamin, status gizi ibu, pendidikan ibu, status sosial ekonomi keluarga, dan wilayah geografis. </t>
    </r>
  </si>
  <si>
    <r>
      <t xml:space="preserve">Hasil penelitian menunjukkan bahwa prevalensi stunting pada anak di bawah usia lima tahun di Bangladesh adalah 31,5%. </t>
    </r>
    <r>
      <rPr>
        <sz val="11"/>
        <color theme="1"/>
        <rFont val="Calibri"/>
        <family val="2"/>
        <scheme val="minor"/>
      </rPr>
      <t>Beberapa faktor risiko yang signifikan terkait dengan stunting pada anak termasuk jenis kelamin, umur, urutan kelahiran, durasi pemberian ASI, status vaksinasi BCG dan vitamin A, tempat persalinan, usia ibu, indeks massa tubuh ibu, pendidikan ibu, jumlah kunjungan ANC selama kehamilan, pendidikan ayah, status ekonomi rumah tangga, jenis tempat tinggal, dan agama.</t>
    </r>
  </si>
  <si>
    <r>
      <t xml:space="preserve">prevalensi stunting, wasting, dan underweight pada anak di empat provinsi di Republik Demokratik Kongo (DRC) masih tinggi. </t>
    </r>
    <r>
      <rPr>
        <sz val="11"/>
        <color theme="1"/>
        <rFont val="Calibri"/>
        <family val="2"/>
        <scheme val="minor"/>
      </rPr>
      <t>Faktor risiko yang terkait dengan stunting pada anak di DRC adalah usia anak, jenis kelamin, pendidikan ibu, dan lokasi geografis.</t>
    </r>
  </si>
  <si>
    <r>
      <t xml:space="preserve">Kesimpulan dari penelitian ini adalah bahwa upaya untuk mengurangi stunting pada anak di DRC harus memperhatikan faktor-faktor risiko yang telah diidentifikasi, seperti </t>
    </r>
    <r>
      <rPr>
        <sz val="11"/>
        <color theme="1"/>
        <rFont val="Calibri"/>
        <family val="2"/>
        <scheme val="minor"/>
      </rPr>
      <t>meningkatkan akses ke pendidikan bagi ibu dan anak, meningkatkan akses ke layanan kesehatan, dan meningkatkan akses ke makanan yang bergizi. Selain itu, penelitian lebih lanjut diperlukan untuk memahami faktor-faktor risiko yang terkait dengan wasting dan underweight pada anak di DRC.</t>
    </r>
  </si>
  <si>
    <r>
      <t xml:space="preserve">Dari 1947 anak, prevalensi stunting dan wasting adalah 17,2% (95% CI: 15,0, 19,6) dan 11,0% (95% CI: 9,3, 12,9), masing-masing. </t>
    </r>
    <r>
      <rPr>
        <sz val="11"/>
        <color theme="1"/>
        <rFont val="Calibri"/>
        <family val="2"/>
        <scheme val="minor"/>
      </rPr>
      <t>Pada anak-anak usia 6-59 bulan, mereka yang tinggal di rumah tangga yang sangat tidak aman pangan memiliki risiko lebih tinggi terkena stunting (rasio risiko disesuaikan [aRR] 1,47; CI: 1,12, 1,93) dibandingkan dengan mereka yang tinggal di rumah tangga yang aman pangan. Risiko stunting juga lebih tinggi pada anak-anak dengan inflamasi (aRR 1,75; CI: 1,35, 2,25) dan defisiensi zat besi (ID) (aRR 2,09; CI: 1,58, 2,80).</t>
    </r>
  </si>
  <si>
    <r>
      <t xml:space="preserve">prevalensi stunting dan wasting pada anak usia pra-sekolah di Somalia masih tinggi dan terdapat beberapa </t>
    </r>
    <r>
      <rPr>
        <sz val="11"/>
        <color theme="1"/>
        <rFont val="Calibri"/>
        <family val="2"/>
        <scheme val="minor"/>
      </rPr>
      <t>faktor risiko potensial yang perlu diperhatikan, seperti ketidakamanan pangan, inflamasi, dan defisiensi zat besi. Oleh karena itu, diperlukan upaya untuk mengurangi prevalensi stunting dan wasting pada anak-anak di Somalia melalui intervensi dan kebijakan yang tepat, seperti meningkatkan akses ke makanan yang sehat dan bergizi, serta meningkatkan akses ke layanan kesehatan dan gizi. Selain itu, penelitian lebih lanjut juga diperlukan untuk memahami faktor-faktor risiko lainnya yang mungkin berkontribusi pada stunting dan wasting pada anak-anak di Somalia.</t>
    </r>
  </si>
  <si>
    <r>
      <t xml:space="preserve">Hasil penelitian menunjukkan bahwa proporsi anak yang mengalami stunting di bawah dua tahun di Indonesia secara nasional adalah 20,1%. </t>
    </r>
    <r>
      <rPr>
        <sz val="11"/>
        <color theme="1"/>
        <rFont val="Calibri"/>
        <family val="2"/>
        <scheme val="minor"/>
      </rPr>
      <t>Ibu yang memiliki pendidikan dasar dan di bawahnya memiliki kemungkinan 1,587 kali lebih besar daripada ibu yang memiliki pendidikan perguruan tinggi untuk memiliki anak yang mengalami stunting di bawah dua tahun (95% CI 1,576-1,598).</t>
    </r>
  </si>
  <si>
    <r>
      <t xml:space="preserve">pendidikan ibu berhubungan dengan stunting pada anak di bawah dua tahun di Indonesia. </t>
    </r>
    <r>
      <rPr>
        <sz val="11"/>
        <color theme="1"/>
        <rFont val="Calibri"/>
        <family val="2"/>
        <scheme val="minor"/>
      </rPr>
      <t>Semakin rendah tingkat pendidikan ibu, semakin besar kemungkinan memiliki anak yang mengalami stunting di bawah dua tahun. Oleh karena itu, penulis merekomendasikan agar pemerintah melakukan intervensi yang difokuskan pada ibu-ibu dengan pendidikan rendah yang memiliki anak di bawah dua tahun untuk mengurangi proporsi stunting pada anak di bawah dua tahun. Sasaran yang lebih spesifik adalah ibu-ibu dengan anak di bawah lima tahun yang tinggal di daerah pedesaan, belum menikah, dan bekerja.</t>
    </r>
  </si>
  <si>
    <r>
      <t xml:space="preserve">Hasil penelitian menunjukkan bahwa prevalensi stunting jauh lebih tinggi pada anak laki-laki daripada perempuan. </t>
    </r>
    <r>
      <rPr>
        <sz val="11"/>
        <color theme="1"/>
        <rFont val="Calibri"/>
        <family val="2"/>
        <scheme val="minor"/>
      </rPr>
      <t xml:space="preserve">Ada kesenjangan signifikan antara pedesaan dan perkotaan dalam prevalensi stunting, dengan daerah pedesaan memiliki proporsi anak yang lebih besar yang tinggal dengan stunting daripada perkotaan. </t>
    </r>
  </si>
  <si>
    <r>
      <t>Kesimpulan dari penelitian ini adalah bahwa f</t>
    </r>
    <r>
      <rPr>
        <sz val="11"/>
        <color theme="1"/>
        <rFont val="Calibri"/>
        <family val="2"/>
        <scheme val="minor"/>
      </rPr>
      <t>aktor-faktor seperti jenis kelamin, lokasi geografis, dan status sosioekonomi keluarga berkontribusi pada stunting pada anak-anak di bawah usia 5 tahun di DRC. Riset lebih lanjut diperlukan untuk memahami faktor-faktor ini secara lebih mendalam dan untuk mengembangkan intervensi yang lebih efektif untuk mengurangi prevalensi stunting di DRC.</t>
    </r>
  </si>
  <si>
    <r>
      <t>Hasil penelitian menunjukkan bahwa</t>
    </r>
    <r>
      <rPr>
        <sz val="11"/>
        <color theme="1"/>
        <rFont val="Calibri"/>
        <family val="2"/>
        <scheme val="minor"/>
      </rPr>
      <t xml:space="preserve"> inflamasi usus secara signifikan berhubungan dengan stunting pada anak. Selain itu, faktor-faktor seperti ukuran keluarga, diare dalam seminggu terakhir, tempat tinggal, dan durasi pemberian ASI selama lebih dari 24 bulan juga berkontribusi terhadap stunting pada anak. Inflamasi usus juga berhubungan dengan prevalensi bakteri E. coli dan spesies Shigella dalam tinja, durasi pemberian ASI, dan tempat tinggal.</t>
    </r>
  </si>
  <si>
    <r>
      <t>Kesimpulan dari penelitian ini adalah bahwa</t>
    </r>
    <r>
      <rPr>
        <sz val="11"/>
        <color theme="1"/>
        <rFont val="Calibri"/>
        <family val="2"/>
        <scheme val="minor"/>
      </rPr>
      <t xml:space="preserve"> inflamasi usus dan faktor-faktor terkait anak dan ibu berkontribusi terhadap stunting pada anak di bawah usia lima tahun di kota Hawassa, wilayah Sidama, Ethiopia. Oleh karena itu, penulis merekomendasikan kebijakan kesehatan masyarakat yang lebih baik dalam hal kesadaran keluarga, perencanaan keluarga, durasi pemberian ASI, dan kebersihan lingkungan.
Penelitian lebih lanjut diperlukan untuk memahami lebih lanjut hubungan antara inflamasi usus dan stunting pada anak, serta faktor-faktor lain yang mungkin berkontribusi pada stunting pada anak di bawah usia lima tahun. Selain itu, penelitian lebih lanjut juga diperlukan untuk mengevaluasi efektivitas intervensi yang berbeda dalam mengurangi stunting pada anak di wilayah ini.</t>
    </r>
  </si>
  <si>
    <r>
      <t xml:space="preserve">Hasil penelitian menunjukkan bahwa faktor-faktor PD yang dapat mencegah anemia sindemik pada anak-anak yang mengalami stunting di Myanmar meliputi konsumsi makanan yang kaya zat besi, pemberian ASI eksklusif, dan sanitasi yang baik. </t>
    </r>
    <r>
      <rPr>
        <sz val="11"/>
        <color theme="1"/>
        <rFont val="Calibri"/>
        <family val="2"/>
        <scheme val="minor"/>
      </rPr>
      <t>Selain itu, penelitian ini juga menunjukkan bahwa anemia sindemik dan stunting memiliki hubungan yang kuat dan saling mempengaruhi.</t>
    </r>
  </si>
  <si>
    <r>
      <t xml:space="preserve">prevalensi stunting pada anak-anak usia 24-59 bulan di distrik Lemo adalah 38,8%. </t>
    </r>
    <r>
      <rPr>
        <sz val="11"/>
        <color theme="1"/>
        <rFont val="Calibri"/>
        <family val="2"/>
        <scheme val="minor"/>
      </rPr>
      <t>Faktor-faktor yang berkontribusi terhadap stunting pada anak-anak usia 24-59 bulan di daerah tersebut meliputi kualitas air yang buruk, aksesibilitas air yang buruk, kurangnya sanitasi lingkungan, dan praktik kebersihan yang buruk (WASH), terutama di daerah yang mengalami ketidakamanan pangan. Selain itu, usia anak juga menjadi faktor yang berkontribusi terhadap stunting.</t>
    </r>
  </si>
  <si>
    <r>
      <t>Penelitian ini menunjukkan bahwa stunting pada anak-anak usia 24-59 bulan di distrik Lemo, Ethiopia Selatan, berkaitan dengan faktor-faktor WASH dan usia anak (</t>
    </r>
    <r>
      <rPr>
        <sz val="11"/>
        <color theme="1"/>
        <rFont val="Calibri"/>
        <family val="2"/>
        <scheme val="minor"/>
      </rPr>
      <t>meliputi kualitas air yang buruk, aksesibilitas air yang buruk, kurangnya sanitasi lingkungan, dan praktik kebersihan yang buruk. Dalam penelitian ini, praktik kebersihan yang buruk meliputi kurangnya cuci tangan setelah buang air besar, setelah membersihkan anus anak, dan sebelum makan atau memberi makan anak)</t>
    </r>
  </si>
  <si>
    <r>
      <t xml:space="preserve"> Tiga pola makan diidentifikasi: modern, rendah sumber hewani, dan tradisional. </t>
    </r>
    <r>
      <rPr>
        <sz val="11"/>
        <color theme="1"/>
        <rFont val="Calibri"/>
        <family val="2"/>
        <scheme val="minor"/>
      </rPr>
      <t xml:space="preserve">Anak-anak dengan pola makan rendah sumber hewani memiliki risiko lebih tinggi mengalami stunting. Tiga faktor demografis juga diidentifikasi sebagai prediktor signifikan dari konsumsi pola makan tradisional dan rendah sumber hewani </t>
    </r>
  </si>
  <si>
    <r>
      <t>Hasil penelitian menunjukkan bahwa prevalensi stunting pada remaja yang bersekolah di Addis Ababa sebesar 14,3%, sedangkan prevalensi kekurusan sebesar 10,8%.</t>
    </r>
    <r>
      <rPr>
        <sz val="11"/>
        <color theme="1"/>
        <rFont val="Calibri"/>
        <family val="2"/>
        <scheme val="minor"/>
      </rPr>
      <t xml:space="preserve"> Faktor-faktor yang berhubungan dengan stunting dan kekurusan antara lain tingkat pendidikan ibu, status sosial ekonomi, dan asupan makanan. </t>
    </r>
  </si>
  <si>
    <r>
      <t xml:space="preserve">Hasil penelitian menunjukkan bahwa prevalensi kondisi gabungan stunting, wasting, dan underweight pada anak di bawah lima tahun di Bangladesh adalah 2,9%. </t>
    </r>
    <r>
      <rPr>
        <sz val="11"/>
        <color theme="1"/>
        <rFont val="Calibri"/>
        <family val="2"/>
        <scheme val="minor"/>
      </rPr>
      <t>Faktor risiko yang berpengaruh pada kondisi gabungan tersebut adalah berat lahir rendah, kelompok usia anak yang lebih tua (36-47 bulan), status sosial ekonomi terendah, kurangnya pendidikan ibu, dan anak dari ibu yang mengalami underweight.</t>
    </r>
  </si>
  <si>
    <r>
      <t xml:space="preserve">Hasil penelitian menunjukkan bahwa </t>
    </r>
    <r>
      <rPr>
        <sz val="11"/>
        <color theme="1"/>
        <rFont val="Calibri"/>
        <family val="2"/>
        <scheme val="minor"/>
      </rPr>
      <t xml:space="preserve">paparan asap rokok meningkatkan risiko stunting pada anak-anak usia 25-59 bulan. </t>
    </r>
  </si>
  <si>
    <r>
      <t xml:space="preserve">Kesimpulan dari penelitian ini adalah bahwa </t>
    </r>
    <r>
      <rPr>
        <sz val="11"/>
        <color theme="1"/>
        <rFont val="Calibri"/>
        <family val="2"/>
        <scheme val="minor"/>
      </rPr>
      <t>paparan asap rokok meningkatkan risiko stunting pada anak-anak usia 25-59 bulan. Oleh karena itu, perlu dilakukan tindakan pencegahan untuk mengurangi paparan asap rokok pada anak-anak di bawah usia lima tahun.</t>
    </r>
  </si>
  <si>
    <r>
      <t xml:space="preserve">Hasil penelitian menunjukkan bahwa </t>
    </r>
    <r>
      <rPr>
        <sz val="11"/>
        <color theme="1"/>
        <rFont val="Calibri"/>
        <family val="2"/>
        <scheme val="minor"/>
      </rPr>
      <t>faktor risiko stunting pada anak di bawah lima tahun di Bangladesh meliputi tingkat pendidikan ibu, status sosial ekonomi, jenis kelamin anak, usia anak, interval kelahiran, dan wilayah tempat tinggal.</t>
    </r>
  </si>
  <si>
    <r>
      <t xml:space="preserve">Hasil penelitian menunjukkan bahwa prevalensi stunting di Rwanda adalah 38%, dan faktor risiko yang signifikan untuk stunting meliputi </t>
    </r>
    <r>
      <rPr>
        <sz val="11"/>
        <color theme="1"/>
        <rFont val="Calibri"/>
        <family val="2"/>
        <scheme val="minor"/>
      </rPr>
      <t xml:space="preserve">jenis kelamin laki-laki, usia anak antara 6-23 bulan, berat lahir rendah, tinggi badan ibu yang pendek, dan pendidikan ibu yang rendah. </t>
    </r>
  </si>
  <si>
    <t>Source</t>
  </si>
  <si>
    <t>QueryDate</t>
  </si>
  <si>
    <t>ECC</t>
  </si>
  <si>
    <t>1.00</t>
  </si>
  <si>
    <t>2.67</t>
  </si>
  <si>
    <t>Cites</t>
  </si>
  <si>
    <t>Authors</t>
  </si>
  <si>
    <t>Title</t>
  </si>
  <si>
    <t>Year</t>
  </si>
  <si>
    <t>Publisher</t>
  </si>
  <si>
    <t>ArticleURL</t>
  </si>
  <si>
    <t>CitesURL</t>
  </si>
  <si>
    <t>GSRank</t>
  </si>
  <si>
    <t>Type</t>
  </si>
  <si>
    <t>DOI</t>
  </si>
  <si>
    <t>ISSN</t>
  </si>
  <si>
    <t>CitationURL</t>
  </si>
  <si>
    <t>Volume</t>
  </si>
  <si>
    <t>Issue</t>
  </si>
  <si>
    <t>StartPage</t>
  </si>
  <si>
    <t>EndPage</t>
  </si>
  <si>
    <t>CitesPerYear</t>
  </si>
  <si>
    <t>CitesPerAuthor</t>
  </si>
  <si>
    <t>AuthorCount</t>
  </si>
  <si>
    <t>Age</t>
  </si>
  <si>
    <t>Abstract</t>
  </si>
  <si>
    <t>FullTextURL</t>
  </si>
  <si>
    <t>RelatedURL</t>
  </si>
  <si>
    <t>A. Binagwaho</t>
  </si>
  <si>
    <t>Trends in burden and risk factors associated with childhood stunting in Rwanda from 2000 to 2015: Policy and program implications</t>
  </si>
  <si>
    <t>BMC Public Health</t>
  </si>
  <si>
    <t>https://www.scopus.com/inward/citedby.uri?partnerID=HzOxMe3b&amp;scp=85078488916&amp;origin=inward</t>
  </si>
  <si>
    <t>Article</t>
  </si>
  <si>
    <t>10.1186/s12889-020-8164-4</t>
  </si>
  <si>
    <t>1471-2458</t>
  </si>
  <si>
    <t>https://api.elsevier.com/content/abstract/scopus_id/85078488916</t>
  </si>
  <si>
    <t>3.50</t>
  </si>
  <si>
    <t>A. Imam</t>
  </si>
  <si>
    <t>A cross-sectional study of prevalence and risk factors for stunting among under-fives attending acute malnutrition treatment programmes in north-western Nigeria: Should these programmes be adapted to also manage stunting?</t>
  </si>
  <si>
    <t>https://www.scopus.com/inward/citedby.uri?partnerID=HzOxMe3b&amp;scp=85099748039&amp;origin=inward</t>
  </si>
  <si>
    <t>10.1093/inthealth/ihaa043</t>
  </si>
  <si>
    <t>1876-3413</t>
  </si>
  <si>
    <t>https://api.elsevier.com/content/abstract/scopus_id/85099748039</t>
  </si>
  <si>
    <t>A. Nshimyiryo</t>
  </si>
  <si>
    <t>Risk factors for stunting among children under five years: A cross-sectional population-based study in Rwanda using the 2015 Demographic and Health Survey</t>
  </si>
  <si>
    <t>https://www.scopus.com/inward/citedby.uri?partnerID=HzOxMe3b&amp;scp=85061375249&amp;origin=inward</t>
  </si>
  <si>
    <t>10.1186/s12889-019-6504-z</t>
  </si>
  <si>
    <t>https://api.elsevier.com/content/abstract/scopus_id/85061375249</t>
  </si>
  <si>
    <t>16.40</t>
  </si>
  <si>
    <t>Jurnal Kesehatan Lingkungan</t>
  </si>
  <si>
    <t>1829-7285</t>
  </si>
  <si>
    <t>0.00</t>
  </si>
  <si>
    <t>A.A. Gani</t>
  </si>
  <si>
    <t>Risk factors for stunting among children in Banggai Regency, Indonesia</t>
  </si>
  <si>
    <t>Enfermeria Clinica</t>
  </si>
  <si>
    <t>https://api.elsevier.com/content/article/eid/1-s2.0-S1130862120301650</t>
  </si>
  <si>
    <t>https://www.scopus.com/inward/citedby.uri?partnerID=HzOxMe3b&amp;scp=85086685566&amp;origin=inward</t>
  </si>
  <si>
    <t>10.1016/j.enfcli.2019.10.058</t>
  </si>
  <si>
    <t>1130-8621</t>
  </si>
  <si>
    <t>https://api.elsevier.com/content/abstract/scopus_id/85086685566</t>
  </si>
  <si>
    <t>0.50</t>
  </si>
  <si>
    <t>A.D. Bahagia Febriani</t>
  </si>
  <si>
    <t>Risk factors and nutritional profiles associated with stunting in children</t>
  </si>
  <si>
    <t>https://www.scopus.com/inward/citedby.uri?partnerID=HzOxMe3b&amp;scp=85092147863&amp;origin=inward</t>
  </si>
  <si>
    <t>10.5223/PGHN.2020.23.5.457</t>
  </si>
  <si>
    <t>2234-8646</t>
  </si>
  <si>
    <t>https://api.elsevier.com/content/abstract/scopus_id/85092147863</t>
  </si>
  <si>
    <t>1.75</t>
  </si>
  <si>
    <t>A.F. Lewa</t>
  </si>
  <si>
    <t>Risk factors of stunting events in child 6–23 months old in Biromaru Public Health Center Sigi</t>
  </si>
  <si>
    <t>https://api.elsevier.com/content/article/eid/1-s2.0-S1130862120301583</t>
  </si>
  <si>
    <t>https://www.scopus.com/inward/citedby.uri?partnerID=HzOxMe3b&amp;scp=85086686379&amp;origin=inward</t>
  </si>
  <si>
    <t>10.1016/j.enfcli.2019.10.056</t>
  </si>
  <si>
    <t>https://api.elsevier.com/content/abstract/scopus_id/85086686379</t>
  </si>
  <si>
    <t>A.R. Maulidiana</t>
  </si>
  <si>
    <t>Low intake of essential amino acids and other risk factors of stunting among under-five children in Malang City, East Java, Indonesia</t>
  </si>
  <si>
    <t>Journal of Public Health Research</t>
  </si>
  <si>
    <t>https://www.scopus.com/inward/citedby.uri?partnerID=HzOxMe3b&amp;scp=85105620784&amp;origin=inward</t>
  </si>
  <si>
    <t>10.4081/jphr.2021.2161</t>
  </si>
  <si>
    <t>2279-9028</t>
  </si>
  <si>
    <t>https://api.elsevier.com/content/abstract/scopus_id/85105620784</t>
  </si>
  <si>
    <t>2.00</t>
  </si>
  <si>
    <t>Ardiansyah</t>
  </si>
  <si>
    <t>Risk factors for stunting among children aged 0 – 23 months in Kalimantan Selatan province</t>
  </si>
  <si>
    <t>Indian Journal of Public Health Research and Development</t>
  </si>
  <si>
    <t>https://www.scopus.com/inward/citedby.uri?partnerID=HzOxMe3b&amp;scp=85047884382&amp;origin=inward</t>
  </si>
  <si>
    <t>10.5958/0976-5506.2018.00460.6</t>
  </si>
  <si>
    <t>0976-0245</t>
  </si>
  <si>
    <t>https://api.elsevier.com/content/abstract/scopus_id/85047884382</t>
  </si>
  <si>
    <t>0.17</t>
  </si>
  <si>
    <t>B.N. Pham</t>
  </si>
  <si>
    <t>Measuring Wasting and Stunting Prevalence Among Children Under 5 Years of Age and Associated Risk Factors in Papua New Guinea: New Evidence From the Comprehensive Health and Epidemiological Surveillance System</t>
  </si>
  <si>
    <t>https://www.scopus.com/inward/citedby.uri?partnerID=HzOxMe3b&amp;scp=85102886430&amp;origin=inward</t>
  </si>
  <si>
    <t>10.3389/fnut.2021.622660</t>
  </si>
  <si>
    <t>2296-861X</t>
  </si>
  <si>
    <t>https://api.elsevier.com/content/abstract/scopus_id/85102886430</t>
  </si>
  <si>
    <t>B.T. Woldeamanuel</t>
  </si>
  <si>
    <t>Risk Factors Associated with Under-Five Stunting, Wasting, and Underweight Based on Ethiopian Demographic Health Survey Datasets in Tigray Region, Ethiopia</t>
  </si>
  <si>
    <t>Journal of Nutrition and Metabolism</t>
  </si>
  <si>
    <t>https://www.scopus.com/inward/citedby.uri?partnerID=HzOxMe3b&amp;scp=85077458453&amp;origin=inward</t>
  </si>
  <si>
    <t>10.1155/2019/6967170</t>
  </si>
  <si>
    <t>2090-0724</t>
  </si>
  <si>
    <t>https://api.elsevier.com/content/abstract/scopus_id/85077458453</t>
  </si>
  <si>
    <t>6.00</t>
  </si>
  <si>
    <t>C.M. Wright</t>
  </si>
  <si>
    <t>Wasting and Stunting in Infants and Young Children as Risk Factors for Subsequent Stunting or Mortality: Longitudinal Analysis of Data from Malawi, South Africa, and Pakistan</t>
  </si>
  <si>
    <t>https://www.scopus.com/inward/citedby.uri?partnerID=HzOxMe3b&amp;scp=85110339342&amp;origin=inward</t>
  </si>
  <si>
    <t>10.1093/jn/nxab054</t>
  </si>
  <si>
    <t>0022-3166</t>
  </si>
  <si>
    <t>https://api.elsevier.com/content/abstract/scopus_id/85110339342</t>
  </si>
  <si>
    <t>D. Chen</t>
  </si>
  <si>
    <t>Campylobacter Colonization, Environmental Enteric Dysfunction, Stunting, and Associated Risk Factors Among Young Children in Rural Ethiopia: A Cross-Sectional Study From the Campylobacter Genomics and Environmental Enteric Dysfunction (CAGED) Project</t>
  </si>
  <si>
    <t>Frontiers in Public Health</t>
  </si>
  <si>
    <t>https://www.scopus.com/inward/citedby.uri?partnerID=HzOxMe3b&amp;scp=85100693013&amp;origin=inward</t>
  </si>
  <si>
    <t>10.3389/fpubh.2020.615793</t>
  </si>
  <si>
    <t>2296-2565</t>
  </si>
  <si>
    <t>https://api.elsevier.com/content/abstract/scopus_id/85100693013</t>
  </si>
  <si>
    <t>6.67</t>
  </si>
  <si>
    <t>D. Vilcins</t>
  </si>
  <si>
    <t>Environmental risk factors associated with child stunting: A systematic review of the literature</t>
  </si>
  <si>
    <t>https://www.scopus.com/inward/citedby.uri?partnerID=HzOxMe3b&amp;scp=85061846058&amp;origin=inward</t>
  </si>
  <si>
    <t>10.29024/aogh.2361</t>
  </si>
  <si>
    <t>2214-9996</t>
  </si>
  <si>
    <t>https://api.elsevier.com/content/abstract/scopus_id/85061846058</t>
  </si>
  <si>
    <t>12.17</t>
  </si>
  <si>
    <t>E. Banda</t>
  </si>
  <si>
    <t>INVESTIGATING CAUSAL AND MEDIATING RISK FACTORS FOR STUNTING IN UNDER FIVE CHILDREN IN MALAWI USING STRUCTURAL EQUATION MODELLING TECHNIQUES</t>
  </si>
  <si>
    <t>Encyclopedia of Africa: Volume 11: (11 Volume Set)</t>
  </si>
  <si>
    <t>https://www.scopus.com/inward/citedby.uri?partnerID=HzOxMe3b&amp;scp=85178641849&amp;origin=inward</t>
  </si>
  <si>
    <t>Book Chapter</t>
  </si>
  <si>
    <t>https://api.elsevier.com/content/abstract/scopus_id/85178641849</t>
  </si>
  <si>
    <t>E.A. Kragel</t>
  </si>
  <si>
    <t>Risk factors for stunting in children under the age of 5 in rural guatemalan highlands</t>
  </si>
  <si>
    <t>https://www.scopus.com/inward/citedby.uri?partnerID=HzOxMe3b&amp;scp=85079187901&amp;origin=inward</t>
  </si>
  <si>
    <t>10.5334/aogh.2433</t>
  </si>
  <si>
    <t>https://api.elsevier.com/content/abstract/scopus_id/85079187901</t>
  </si>
  <si>
    <t>E.D.L. Rolfe</t>
  </si>
  <si>
    <t>Associations of stunting in early childhood with cardiometabolic risk factors in adulthood</t>
  </si>
  <si>
    <t>https://www.scopus.com/inward/citedby.uri?partnerID=HzOxMe3b&amp;scp=85045206328&amp;origin=inward</t>
  </si>
  <si>
    <t>10.1371/journal.pone.0192196</t>
  </si>
  <si>
    <t>1932-6203</t>
  </si>
  <si>
    <t>https://api.elsevier.com/content/abstract/scopus_id/85045206328</t>
  </si>
  <si>
    <t>6.50</t>
  </si>
  <si>
    <t>F. Niragire</t>
  </si>
  <si>
    <t>Child stunting and associated risk factors in selected food-insecure areas in Rwanda: an analytical cross-sectional study</t>
  </si>
  <si>
    <t>https://www.scopus.com/inward/citedby.uri?partnerID=HzOxMe3b&amp;scp=85143549540&amp;origin=inward</t>
  </si>
  <si>
    <t>10.11604/pamj.2022.43.111.35100</t>
  </si>
  <si>
    <t>1937-8688</t>
  </si>
  <si>
    <t>https://api.elsevier.com/content/abstract/scopus_id/85143549540</t>
  </si>
  <si>
    <t>F. Yulidasari</t>
  </si>
  <si>
    <t>Risk Factors of Stunting Among 24-59-Month-Old Children in the Work Area of Bakarangan Public Health Center, Tapin District</t>
  </si>
  <si>
    <t>https://www.scopus.com/inward/citedby.uri?partnerID=HzOxMe3b&amp;scp=85125701228&amp;origin=inward</t>
  </si>
  <si>
    <t>Conference Paper</t>
  </si>
  <si>
    <t>1675-8544</t>
  </si>
  <si>
    <t>https://api.elsevier.com/content/abstract/scopus_id/85125701228</t>
  </si>
  <si>
    <t>G. Gusnedi</t>
  </si>
  <si>
    <t>Risk factors associated with childhood stunting in Indonesia: A systematic review and meta-analysis</t>
  </si>
  <si>
    <t>https://www.scopus.com/inward/citedby.uri?partnerID=HzOxMe3b&amp;scp=85163663892&amp;origin=inward</t>
  </si>
  <si>
    <t>10.6133/apjcn.202306_32(2).0001</t>
  </si>
  <si>
    <t>0964-7058</t>
  </si>
  <si>
    <t>https://api.elsevier.com/content/abstract/scopus_id/85163663892</t>
  </si>
  <si>
    <t>G. Sapartini</t>
  </si>
  <si>
    <t>Stunting as a Risk Factor for Asthma: The Role of Vitamin D, Leptin, IL-4, and CD23+</t>
  </si>
  <si>
    <t>https://www.scopus.com/inward/citedby.uri?partnerID=HzOxMe3b&amp;scp=85138334152&amp;origin=inward</t>
  </si>
  <si>
    <t>Review</t>
  </si>
  <si>
    <t>10.3390/medicina58091236</t>
  </si>
  <si>
    <t>1010-660X</t>
  </si>
  <si>
    <t>https://api.elsevier.com/content/abstract/scopus_id/85138334152</t>
  </si>
  <si>
    <t>G. Toledo</t>
  </si>
  <si>
    <t>Risk factors for stunting in children who are HIV-exposed and uninfected after Option B+ implementation in Malawi</t>
  </si>
  <si>
    <t>https://www.scopus.com/inward/citedby.uri?partnerID=HzOxMe3b&amp;scp=85141587259&amp;origin=inward</t>
  </si>
  <si>
    <t>10.1111/mcn.13451</t>
  </si>
  <si>
    <t>1740-8695</t>
  </si>
  <si>
    <t>https://api.elsevier.com/content/abstract/scopus_id/85141587259</t>
  </si>
  <si>
    <t>H. Fitriani</t>
  </si>
  <si>
    <t>Risk Factors of Maternal Nutrition Status During Pregnancy to Stunting in Toddlers Aged 12-59 Months</t>
  </si>
  <si>
    <t>Jurnal Keperawatan Padjadjaran</t>
  </si>
  <si>
    <t>https://www.scopus.com/inward/citedby.uri?partnerID=HzOxMe3b&amp;scp=85151078843&amp;origin=inward</t>
  </si>
  <si>
    <t>10.24198/jkp.v8i2.1305</t>
  </si>
  <si>
    <t>2338-5324</t>
  </si>
  <si>
    <t>https://api.elsevier.com/content/abstract/scopus_id/85151078843</t>
  </si>
  <si>
    <t>0.75</t>
  </si>
  <si>
    <t>H.D.S. Ferreira</t>
  </si>
  <si>
    <t>Stunting and overweight among children in Northeast Brazil: Prevalence, trends (1992-2005-2015) and associated risk factors from repeated cross-sectional surveys</t>
  </si>
  <si>
    <t>https://www.scopus.com/inward/citedby.uri?partnerID=HzOxMe3b&amp;scp=85085088534&amp;origin=inward</t>
  </si>
  <si>
    <t>10.1186/s12889-020-08869-1</t>
  </si>
  <si>
    <t>https://api.elsevier.com/content/abstract/scopus_id/85085088534</t>
  </si>
  <si>
    <t>3.00</t>
  </si>
  <si>
    <t>I. Amadu</t>
  </si>
  <si>
    <t>Risk factors associated with the coexistence of stunting, underweight, and wasting in children under 5 from 31 sub-Saharan African countries</t>
  </si>
  <si>
    <t>https://www.scopus.com/inward/citedby.uri?partnerID=HzOxMe3b&amp;scp=85122236678&amp;origin=inward</t>
  </si>
  <si>
    <t>10.1136/bmjopen-2021-052267</t>
  </si>
  <si>
    <t>2044-6055</t>
  </si>
  <si>
    <t>https://api.elsevier.com/content/abstract/scopus_id/85122236678</t>
  </si>
  <si>
    <t>4.00</t>
  </si>
  <si>
    <t>J. Beckmann</t>
  </si>
  <si>
    <t>Prevalence of stunting and relationship between stunting and associated risk factors with academic achievement and cognitive function: A cross-sectional study with South African primary school children</t>
  </si>
  <si>
    <t>https://www.scopus.com/inward/citedby.uri?partnerID=HzOxMe3b&amp;scp=85104128982&amp;origin=inward</t>
  </si>
  <si>
    <t>10.3390/ijerph18084218</t>
  </si>
  <si>
    <t>1661-7827</t>
  </si>
  <si>
    <t>https://api.elsevier.com/content/abstract/scopus_id/85104128982</t>
  </si>
  <si>
    <t>3.67</t>
  </si>
  <si>
    <t>J.K. Luzingu</t>
  </si>
  <si>
    <t>Risk factors associated with under-five stunting, wasting, and underweight in four provinces of the Democratic Republic of Congo: analysis of the ASSP project baseline data</t>
  </si>
  <si>
    <t>https://www.scopus.com/inward/citedby.uri?partnerID=HzOxMe3b&amp;scp=85144637951&amp;origin=inward</t>
  </si>
  <si>
    <t>10.1186/s12889-022-14842-x</t>
  </si>
  <si>
    <t>https://api.elsevier.com/content/abstract/scopus_id/85144637951</t>
  </si>
  <si>
    <t>J.L. Dorsey</t>
  </si>
  <si>
    <t>Individual, household, and community level risk factors of stunting in children younger than 5 years: Findings from a national surveillance system in Nepal</t>
  </si>
  <si>
    <t>https://www.scopus.com/inward/citedby.uri?partnerID=HzOxMe3b&amp;scp=85013637042&amp;origin=inward</t>
  </si>
  <si>
    <t>10.1111/mcn.12434</t>
  </si>
  <si>
    <t>https://api.elsevier.com/content/abstract/scopus_id/85013637042</t>
  </si>
  <si>
    <t>6.33</t>
  </si>
  <si>
    <t>K. Berhe</t>
  </si>
  <si>
    <t>Risk factors of stunting (chronic undernutrition) of children aged 6 to 24 months in Mekelle City, Tigray Region, North Ethiopia: An unmatched case-control study</t>
  </si>
  <si>
    <t>https://www.scopus.com/inward/citedby.uri?partnerID=HzOxMe3b&amp;scp=85066991567&amp;origin=inward</t>
  </si>
  <si>
    <t>10.1371/journal.pone.0217736</t>
  </si>
  <si>
    <t>https://api.elsevier.com/content/abstract/scopus_id/85066991567</t>
  </si>
  <si>
    <t>7.00</t>
  </si>
  <si>
    <t>K. Nomura</t>
  </si>
  <si>
    <t>Risk Factors Associated with Stunting among Children Under Five in Timor-Leste</t>
  </si>
  <si>
    <t>https://www.scopus.com/inward/citedby.uri?partnerID=HzOxMe3b&amp;scp=85173065450&amp;origin=inward</t>
  </si>
  <si>
    <t>10.5334/aogh.4199</t>
  </si>
  <si>
    <t>https://api.elsevier.com/content/abstract/scopus_id/85173065450</t>
  </si>
  <si>
    <t>K.R. Bhowmik</t>
  </si>
  <si>
    <t>On selection of an appropriate logistic model to determine the risk factors of childhood stunting in Bangladesh</t>
  </si>
  <si>
    <t>https://www.scopus.com/inward/citedby.uri?partnerID=HzOxMe3b&amp;scp=85050465694&amp;origin=inward</t>
  </si>
  <si>
    <t>10.1111/mcn.12636</t>
  </si>
  <si>
    <t>https://api.elsevier.com/content/abstract/scopus_id/85050465694</t>
  </si>
  <si>
    <t>1.60</t>
  </si>
  <si>
    <t>K.Y. Ahmed</t>
  </si>
  <si>
    <t>Population-Modifiable Risk Factors Associated with Childhood Stunting in Sub-Saharan Africa</t>
  </si>
  <si>
    <t>https://www.scopus.com/inward/citedby.uri?partnerID=HzOxMe3b&amp;scp=85174641670&amp;origin=inward</t>
  </si>
  <si>
    <t>10.1001/jamanetworkopen.2023.38321</t>
  </si>
  <si>
    <t>2574-3805</t>
  </si>
  <si>
    <t>https://api.elsevier.com/content/abstract/scopus_id/85174641670</t>
  </si>
  <si>
    <t>M. Anismuslim</t>
  </si>
  <si>
    <t>Modeling of Risk Factors of Childhood Stunting Cases in Malang Regency using Geographically Weighted Regression (GWR)</t>
  </si>
  <si>
    <t>https://www.scopus.com/inward/citedby.uri?partnerID=HzOxMe3b&amp;scp=85163825974&amp;origin=inward</t>
  </si>
  <si>
    <t>10.2174/18749445-v17-e230420-2022-165</t>
  </si>
  <si>
    <t>1874-9445</t>
  </si>
  <si>
    <t>https://api.elsevier.com/content/abstract/scopus_id/85163825974</t>
  </si>
  <si>
    <t>M. Belayneh</t>
  </si>
  <si>
    <t>Spatial variation of child stunting and maternal malnutrition after controlling for known risk factors in a drought-prone rural community in Southern Ethiopia</t>
  </si>
  <si>
    <t>https://www.scopus.com/inward/citedby.uri?partnerID=HzOxMe3b&amp;scp=85113670862&amp;origin=inward</t>
  </si>
  <si>
    <t>10.5334/aogh.3286</t>
  </si>
  <si>
    <t>https://api.elsevier.com/content/abstract/scopus_id/85113670862</t>
  </si>
  <si>
    <t>M. Mansur</t>
  </si>
  <si>
    <t>Sociodemographic risk factors of under-five stunting in Bangladesh: Assessing the role of interactions using a machine learning method</t>
  </si>
  <si>
    <t>https://www.scopus.com/inward/citedby.uri?partnerID=HzOxMe3b&amp;scp=85114372574&amp;origin=inward</t>
  </si>
  <si>
    <t>10.1371/journal.pone.0256729</t>
  </si>
  <si>
    <t>https://api.elsevier.com/content/abstract/scopus_id/85114372574</t>
  </si>
  <si>
    <t>1.33</t>
  </si>
  <si>
    <t>M.A.L. Suratri</t>
  </si>
  <si>
    <t>Risk Factors for Stunting among Children under Five Years in the Province of East Nusa Tenggara (NTT), Indonesia</t>
  </si>
  <si>
    <t>https://www.scopus.com/inward/citedby.uri?partnerID=HzOxMe3b&amp;scp=85146723929&amp;origin=inward</t>
  </si>
  <si>
    <t>10.3390/ijerph20021640</t>
  </si>
  <si>
    <t>https://api.elsevier.com/content/abstract/scopus_id/85146723929</t>
  </si>
  <si>
    <t>5.00</t>
  </si>
  <si>
    <t>M.C. Smith Fawzi</t>
  </si>
  <si>
    <t>Lifetime economic impact of the burden of childhood stunting attributable to maternal psychosocial risk factors in 137 low/middle-income countries</t>
  </si>
  <si>
    <t>https://www.scopus.com/inward/citedby.uri?partnerID=HzOxMe3b&amp;scp=85061842598&amp;origin=inward</t>
  </si>
  <si>
    <t>10.1136/bmjgh-2018-001144</t>
  </si>
  <si>
    <t>2059-7908</t>
  </si>
  <si>
    <t>https://api.elsevier.com/content/abstract/scopus_id/85061842598</t>
  </si>
  <si>
    <t>5.20</t>
  </si>
  <si>
    <t>M.M. Islam</t>
  </si>
  <si>
    <t>Risk factors of stunting among children living in an urban slum of Bangladesh: Findings of a prospective cohort study</t>
  </si>
  <si>
    <t>https://www.scopus.com/inward/citedby.uri?partnerID=HzOxMe3b&amp;scp=85041233617&amp;origin=inward</t>
  </si>
  <si>
    <t>10.1186/s12889-018-5101-x</t>
  </si>
  <si>
    <t>https://api.elsevier.com/content/abstract/scopus_id/85041233617</t>
  </si>
  <si>
    <t>6.83</t>
  </si>
  <si>
    <t>M.M. Ravsanjanie</t>
  </si>
  <si>
    <t>UTILIZATION OF CLEAN WATER, PERSONAL HYGIENE OF TODDLER CAREGIVERS, AND SMOKING BEHAVIOR OF FAMILY MEMBERS AS RISK FACTORS FOR CASES OF STUNTING TODDLERS</t>
  </si>
  <si>
    <t>https://www.scopus.com/inward/citedby.uri?partnerID=HzOxMe3b&amp;scp=85174928401&amp;origin=inward</t>
  </si>
  <si>
    <t>10.20473/jkl.v13i1.2021.48-56</t>
  </si>
  <si>
    <t>https://api.elsevier.com/content/abstract/scopus_id/85174928401</t>
  </si>
  <si>
    <t>0.67</t>
  </si>
  <si>
    <t>M.O. Guirindola</t>
  </si>
  <si>
    <t>Risk factors of stunting during the complementary feeding period 6-23 months in the Philippines</t>
  </si>
  <si>
    <t>https://www.scopus.com/inward/citedby.uri?partnerID=HzOxMe3b&amp;scp=85107679665&amp;origin=inward</t>
  </si>
  <si>
    <t>10.31246/MJN-2020-0112</t>
  </si>
  <si>
    <t>1394-035X</t>
  </si>
  <si>
    <t>https://api.elsevier.com/content/abstract/scopus_id/85107679665</t>
  </si>
  <si>
    <t>M.P. Amriviana</t>
  </si>
  <si>
    <t>Parental stature as a risk factor for stunting in Indonesia: A systematic review and meta-analysis</t>
  </si>
  <si>
    <t>Narra J</t>
  </si>
  <si>
    <t>https://www.scopus.com/inward/citedby.uri?partnerID=HzOxMe3b&amp;scp=85170270527&amp;origin=inward</t>
  </si>
  <si>
    <t>10.52225/narra.v3i2.144</t>
  </si>
  <si>
    <t>2807-2618</t>
  </si>
  <si>
    <t>https://api.elsevier.com/content/abstract/scopus_id/85170270527</t>
  </si>
  <si>
    <t>M.R.K. Chowdhury</t>
  </si>
  <si>
    <t>Differences in risk factors associated with single and multiple concurrent forms of undernutrition (stunting, wasting or underweight) among children under 5 in Bangladesh: A nationally representative cross-sectional study</t>
  </si>
  <si>
    <t>https://www.scopus.com/inward/citedby.uri?partnerID=HzOxMe3b&amp;scp=85122207291&amp;origin=inward</t>
  </si>
  <si>
    <t>10.1136/bmjopen-2021-052814</t>
  </si>
  <si>
    <t>https://api.elsevier.com/content/abstract/scopus_id/85122207291</t>
  </si>
  <si>
    <t>The prevalence and socio-demographic risk factors of coexistence of stunting, wasting, and underweight among children under five years in Bangladesh: a cross-sectional study</t>
  </si>
  <si>
    <t>https://www.scopus.com/inward/citedby.uri?partnerID=HzOxMe3b&amp;scp=85137024314&amp;origin=inward</t>
  </si>
  <si>
    <t>10.1186/s40795-022-00584-x</t>
  </si>
  <si>
    <t>2055-0928</t>
  </si>
  <si>
    <t>https://api.elsevier.com/content/abstract/scopus_id/85137024314</t>
  </si>
  <si>
    <t>1.50</t>
  </si>
  <si>
    <t>M.S. Noor</t>
  </si>
  <si>
    <t>Analysis of Socioeconomic, Utilization of Maternal Health Services, and Toddler’s Characteristics as Stunting Risk Factors</t>
  </si>
  <si>
    <t>https://www.scopus.com/inward/citedby.uri?partnerID=HzOxMe3b&amp;scp=85140797688&amp;origin=inward</t>
  </si>
  <si>
    <t>10.3390/nu14204373</t>
  </si>
  <si>
    <t>2072-6643</t>
  </si>
  <si>
    <t>https://api.elsevier.com/content/abstract/scopus_id/85140797688</t>
  </si>
  <si>
    <t>Marni</t>
  </si>
  <si>
    <t>Risk factor and interventions of behavioral changing strategy in acceleration of stunting prevention: A systematic review</t>
  </si>
  <si>
    <t>https://api.elsevier.com/content/article/eid/1-s2.0-S113086212100173X</t>
  </si>
  <si>
    <t>https://www.scopus.com/inward/citedby.uri?partnerID=HzOxMe3b&amp;scp=85121661274&amp;origin=inward</t>
  </si>
  <si>
    <t>10.1016/j.enfcli.2021.07.008</t>
  </si>
  <si>
    <t>https://api.elsevier.com/content/abstract/scopus_id/85121661274</t>
  </si>
  <si>
    <t>N. Fauziah</t>
  </si>
  <si>
    <t>Stunting as a Risk Factor of Soil-Transmitted Helminthiasis in Children: A Literature Review</t>
  </si>
  <si>
    <t>https://www.scopus.com/inward/citedby.uri?partnerID=HzOxMe3b&amp;scp=85136002376&amp;origin=inward</t>
  </si>
  <si>
    <t>10.1155/2022/8929025</t>
  </si>
  <si>
    <t>1687-708X</t>
  </si>
  <si>
    <t>https://api.elsevier.com/content/abstract/scopus_id/85136002376</t>
  </si>
  <si>
    <t>2.50</t>
  </si>
  <si>
    <t>N. Fentiana</t>
  </si>
  <si>
    <t>A Stunting Prevention Risk Factors Pathway Model for Indonesian Districts/Cities with a Stunting Prevalence of ≥30%</t>
  </si>
  <si>
    <t>Kesmas</t>
  </si>
  <si>
    <t>https://www.scopus.com/inward/citedby.uri?partnerID=HzOxMe3b&amp;scp=85140776144&amp;origin=inward</t>
  </si>
  <si>
    <t>10.21109/kesmas.v17i3.5954</t>
  </si>
  <si>
    <t>1907-7505</t>
  </si>
  <si>
    <t>https://api.elsevier.com/content/abstract/scopus_id/85140776144</t>
  </si>
  <si>
    <t>N. Goyal</t>
  </si>
  <si>
    <t>Exposure to ambient fine particulate air pollution in utero as a risk factor for child stunting in Bangladesh</t>
  </si>
  <si>
    <t>https://www.scopus.com/inward/citedby.uri?partnerID=HzOxMe3b&amp;scp=85039067800&amp;origin=inward</t>
  </si>
  <si>
    <t>10.3390/ijerph15010022</t>
  </si>
  <si>
    <t>https://api.elsevier.com/content/abstract/scopus_id/85039067800</t>
  </si>
  <si>
    <t>4.67</t>
  </si>
  <si>
    <t>N. Rohmawati</t>
  </si>
  <si>
    <t>Food security and parenting as risk factors of stunting in toddlers aged 24 to 59 months</t>
  </si>
  <si>
    <t>https://www.scopus.com/inward/citedby.uri?partnerID=HzOxMe3b&amp;scp=85175856600&amp;origin=inward</t>
  </si>
  <si>
    <t>10.46542/pe.2023.234.8286</t>
  </si>
  <si>
    <t>1560-2214</t>
  </si>
  <si>
    <t>https://api.elsevier.com/content/abstract/scopus_id/85175856600</t>
  </si>
  <si>
    <t>N. Sari</t>
  </si>
  <si>
    <t>Exclusive breastfeeding history risk factor associated with stunting of children aged 12–23 months</t>
  </si>
  <si>
    <t>https://www.scopus.com/inward/citedby.uri?partnerID=HzOxMe3b&amp;scp=85102522006&amp;origin=inward</t>
  </si>
  <si>
    <t>10.21109/KESMAS.V16I1.3291</t>
  </si>
  <si>
    <t>https://api.elsevier.com/content/abstract/scopus_id/85102522006</t>
  </si>
  <si>
    <t>N.I. Safitri</t>
  </si>
  <si>
    <t>Risk Factors of Stunting in Children Aged 0-23 Months in Katumbangan Health Center, Indonesia</t>
  </si>
  <si>
    <t>https://www.scopus.com/inward/citedby.uri?partnerID=HzOxMe3b&amp;scp=85178048300&amp;origin=inward</t>
  </si>
  <si>
    <t>10.5530/pj.2023.15.163</t>
  </si>
  <si>
    <t>0975-3575</t>
  </si>
  <si>
    <t>https://api.elsevier.com/content/abstract/scopus_id/85178048300</t>
  </si>
  <si>
    <t>N.N. Widyaningsih</t>
  </si>
  <si>
    <t>Household food security and food diversity as risk factor for stunting in toddlers at 24-59 months of age</t>
  </si>
  <si>
    <t>https://www.scopus.com/inward/citedby.uri?partnerID=HzOxMe3b&amp;scp=85064350511&amp;origin=inward</t>
  </si>
  <si>
    <t>10.5958/0976-5506.2019.00604.1</t>
  </si>
  <si>
    <t>https://api.elsevier.com/content/abstract/scopus_id/85064350511</t>
  </si>
  <si>
    <t>Najib</t>
  </si>
  <si>
    <t>Analysis of Feeding Behavior and Family Food Security as a Stunting Risk Factor in Semarang City</t>
  </si>
  <si>
    <t>Kemas</t>
  </si>
  <si>
    <t>https://www.scopus.com/inward/citedby.uri?partnerID=HzOxMe3b&amp;scp=85177234939&amp;origin=inward</t>
  </si>
  <si>
    <t>10.15294/kemas.v19i2.43144</t>
  </si>
  <si>
    <t>1858-1196</t>
  </si>
  <si>
    <t>https://api.elsevier.com/content/abstract/scopus_id/85177234939</t>
  </si>
  <si>
    <t>P. Das</t>
  </si>
  <si>
    <t>Stunting, a linear growth anomaly in under-five year (U5) children: A risk factors’ analysis from maternal, household and individual background in Indian context</t>
  </si>
  <si>
    <t>https://www.scopus.com/inward/citedby.uri?partnerID=HzOxMe3b&amp;scp=85123213790&amp;origin=inward</t>
  </si>
  <si>
    <t>10.1007/s12187-021-09898-x</t>
  </si>
  <si>
    <t>1874-897X</t>
  </si>
  <si>
    <t>https://api.elsevier.com/content/abstract/scopus_id/85123213790</t>
  </si>
  <si>
    <t>P. Yushananta</t>
  </si>
  <si>
    <t>Risk Factors of Stunting in ChildrenAged 6–59 Months: ACase-Control Study in Horticulture Area</t>
  </si>
  <si>
    <t>https://www.scopus.com/inward/citedby.uri?partnerID=HzOxMe3b&amp;scp=85122838597&amp;origin=inward</t>
  </si>
  <si>
    <t>10.3889/oamjms.2022.7768</t>
  </si>
  <si>
    <t>1857-9655</t>
  </si>
  <si>
    <t>https://api.elsevier.com/content/abstract/scopus_id/85122838597</t>
  </si>
  <si>
    <t>R. Nuzul Za</t>
  </si>
  <si>
    <t>Risk factors for stunting incidence in toddlers ages 2-5 years at Lampisang public health center Peukan Bada Aceh Besar</t>
  </si>
  <si>
    <t>AIP Conference Proceedings</t>
  </si>
  <si>
    <t>https://www.scopus.com/inward/citedby.uri?partnerID=HzOxMe3b&amp;scp=85160027627&amp;origin=inward</t>
  </si>
  <si>
    <t>10.1063/5.0116432</t>
  </si>
  <si>
    <t>0094-243X</t>
  </si>
  <si>
    <t>https://api.elsevier.com/content/abstract/scopus_id/85160027627</t>
  </si>
  <si>
    <t>R.A. Utami</t>
  </si>
  <si>
    <t>Identifying causal risk factors for stunting in children under five years of age in South Jakarta, Indonesia</t>
  </si>
  <si>
    <t>https://api.elsevier.com/content/article/eid/1-s2.0-S1130862119302165</t>
  </si>
  <si>
    <t>https://www.scopus.com/inward/citedby.uri?partnerID=HzOxMe3b&amp;scp=85068704687&amp;origin=inward</t>
  </si>
  <si>
    <t>10.1016/j.enfcli.2019.04.093</t>
  </si>
  <si>
    <t>https://api.elsevier.com/content/abstract/scopus_id/85068704687</t>
  </si>
  <si>
    <t>R.A. Wicaksono</t>
  </si>
  <si>
    <t>Risk factors of stunting in indonesian children aged 1 to 60 months</t>
  </si>
  <si>
    <t>https://www.scopus.com/inward/citedby.uri?partnerID=HzOxMe3b&amp;scp=85102189056&amp;origin=inward</t>
  </si>
  <si>
    <t>10.14238/pi61.1.2021.12-9</t>
  </si>
  <si>
    <t>0030-9311</t>
  </si>
  <si>
    <t>https://api.elsevier.com/content/abstract/scopus_id/85102189056</t>
  </si>
  <si>
    <t>R.N. Yenita</t>
  </si>
  <si>
    <t>Identification and analysis of stunting risk factors in children under three years of age in the area of kampar watershed</t>
  </si>
  <si>
    <t>https://www.scopus.com/inward/citedby.uri?partnerID=HzOxMe3b&amp;scp=85117029335&amp;origin=inward</t>
  </si>
  <si>
    <t>10.3889/oamjms.2021.7091</t>
  </si>
  <si>
    <t>https://api.elsevier.com/content/abstract/scopus_id/85117029335</t>
  </si>
  <si>
    <t>S. Lestari</t>
  </si>
  <si>
    <t>The prevalence and risk factors of stunting among primary school children in North Sumatera, Indonesia</t>
  </si>
  <si>
    <t>IOP Conference Series: Earth and Environmental Science</t>
  </si>
  <si>
    <t>https://www.scopus.com/inward/citedby.uri?partnerID=HzOxMe3b&amp;scp=85045681279&amp;origin=inward</t>
  </si>
  <si>
    <t>10.1088/1755-1315/125/1/012219</t>
  </si>
  <si>
    <t>1755-1307</t>
  </si>
  <si>
    <t>https://api.elsevier.com/content/abstract/scopus_id/85045681279</t>
  </si>
  <si>
    <t>1.67</t>
  </si>
  <si>
    <t>S. Madiba</t>
  </si>
  <si>
    <t>Attending informal preschools and daycare centers is a risk factor for underweight, stunting and wasting in children under the age of five years in underprivileged communities in south africa</t>
  </si>
  <si>
    <t>https://www.scopus.com/inward/citedby.uri?partnerID=HzOxMe3b&amp;scp=85071004491&amp;origin=inward</t>
  </si>
  <si>
    <t>10.3390/ijerph16142589</t>
  </si>
  <si>
    <t>https://api.elsevier.com/content/abstract/scopus_id/85071004491</t>
  </si>
  <si>
    <t>3.80</t>
  </si>
  <si>
    <t>S. Ndagijimana</t>
  </si>
  <si>
    <t>ANALYSIS OF RISK FACTORS THAT INFLUENCE STUNTING AMONG RWANDAN CHILDREN UNDER THE AGE OF FIVE</t>
  </si>
  <si>
    <t>https://www.scopus.com/inward/citedby.uri?partnerID=HzOxMe3b&amp;scp=85134939415&amp;origin=inward</t>
  </si>
  <si>
    <t>10.18697/ajfand.110.21125</t>
  </si>
  <si>
    <t>1684-5358</t>
  </si>
  <si>
    <t>https://api.elsevier.com/content/abstract/scopus_id/85134939415</t>
  </si>
  <si>
    <t>S. Sumiaty</t>
  </si>
  <si>
    <t>Roles of midwives and Indonesian midwives association in reducing risk factors for stunting in Indonesia</t>
  </si>
  <si>
    <t>https://www.scopus.com/inward/citedby.uri?partnerID=HzOxMe3b&amp;scp=85119278614&amp;origin=inward</t>
  </si>
  <si>
    <t>10.3889/oamjms.2021.6400</t>
  </si>
  <si>
    <t>https://api.elsevier.com/content/abstract/scopus_id/85119278614</t>
  </si>
  <si>
    <t>S.H. Quamme</t>
  </si>
  <si>
    <t>Prevalence of child stunting in Sub-Saharan Africa and its risk factors</t>
  </si>
  <si>
    <t>https://api.elsevier.com/content/article/eid/1-s2.0-S2667268522000092</t>
  </si>
  <si>
    <t>https://www.scopus.com/inward/citedby.uri?partnerID=HzOxMe3b&amp;scp=85124456575&amp;origin=inward</t>
  </si>
  <si>
    <t>10.1016/j.nutos.2022.01.009</t>
  </si>
  <si>
    <t>2667-2685</t>
  </si>
  <si>
    <t>https://api.elsevier.com/content/abstract/scopus_id/85124456575</t>
  </si>
  <si>
    <t>15.50</t>
  </si>
  <si>
    <t>S.M. Raj</t>
  </si>
  <si>
    <t>Risk factors in childhood stunting in Karnataka, India, vary by geography</t>
  </si>
  <si>
    <t>https://www.scopus.com/inward/citedby.uri?partnerID=HzOxMe3b&amp;scp=85113177177&amp;origin=inward</t>
  </si>
  <si>
    <t>10.18520/cs/v121/i4/502-510</t>
  </si>
  <si>
    <t>0011-3891</t>
  </si>
  <si>
    <t>https://api.elsevier.com/content/abstract/scopus_id/85113177177</t>
  </si>
  <si>
    <t>Multiple risk factors contribute to childhood stunting in Karnataka, India</t>
  </si>
  <si>
    <t>https://www.scopus.com/inward/citedby.uri?partnerID=HzOxMe3b&amp;scp=85113138260&amp;origin=inward</t>
  </si>
  <si>
    <t>10.18520/cs/v121/i3/360-364</t>
  </si>
  <si>
    <t>https://api.elsevier.com/content/abstract/scopus_id/85113138260</t>
  </si>
  <si>
    <t>0.33</t>
  </si>
  <si>
    <t>S.M.J. Rahman</t>
  </si>
  <si>
    <t>Investigate the risk factors of stunting, wasting, and underweight among under-five Bangladeshi children and its prediction based on machine learning approach</t>
  </si>
  <si>
    <t>https://www.scopus.com/inward/citedby.uri?partnerID=HzOxMe3b&amp;scp=85108270079&amp;origin=inward</t>
  </si>
  <si>
    <t>10.1371/journal.pone.0253172</t>
  </si>
  <si>
    <t>https://api.elsevier.com/content/abstract/scopus_id/85108270079</t>
  </si>
  <si>
    <t>S.S. Budhathoki</t>
  </si>
  <si>
    <t>Stunting Among Under 5-Year-Olds in Nepal: Trends and Risk Factors</t>
  </si>
  <si>
    <t>https://www.scopus.com/inward/citedby.uri?partnerID=HzOxMe3b&amp;scp=85075955929&amp;origin=inward</t>
  </si>
  <si>
    <t>10.1007/s10995-019-02817-1</t>
  </si>
  <si>
    <t>1092-7875</t>
  </si>
  <si>
    <t>https://api.elsevier.com/content/abstract/scopus_id/85075955929</t>
  </si>
  <si>
    <t>S.S. Halli</t>
  </si>
  <si>
    <t>Low Birth Weight, the Differentiating Risk Factor for Stunting among Preschool Children in India</t>
  </si>
  <si>
    <t>https://www.scopus.com/inward/citedby.uri?partnerID=HzOxMe3b&amp;scp=85126838880&amp;origin=inward</t>
  </si>
  <si>
    <t>10.3390/ijerph19073751</t>
  </si>
  <si>
    <t>https://api.elsevier.com/content/abstract/scopus_id/85126838880</t>
  </si>
  <si>
    <t>T. Huriah</t>
  </si>
  <si>
    <t>Risk factors of stunting in developing countries: A scoping review</t>
  </si>
  <si>
    <t>https://www.scopus.com/inward/citedby.uri?partnerID=HzOxMe3b&amp;scp=85097531411&amp;origin=inward</t>
  </si>
  <si>
    <t>10.3889/oamjms.2020.4466</t>
  </si>
  <si>
    <t>https://api.elsevier.com/content/abstract/scopus_id/85097531411</t>
  </si>
  <si>
    <t>T. Siswati</t>
  </si>
  <si>
    <t>Risk Factors of Mild and Severe Stunting Children in Rural and Urban Areas in Indonesia</t>
  </si>
  <si>
    <t>https://www.scopus.com/inward/citedby.uri?partnerID=HzOxMe3b&amp;scp=85122023501&amp;origin=inward</t>
  </si>
  <si>
    <t>Letter</t>
  </si>
  <si>
    <t>2251-6085</t>
  </si>
  <si>
    <t>https://api.elsevier.com/content/abstract/scopus_id/85122023501</t>
  </si>
  <si>
    <t>T. Yazew</t>
  </si>
  <si>
    <t>Risk Factors of Stunting and Wasting among Children Aged 6-59 Months in Household Food Insecurity of Jima Geneti District, Western Oromia, Ethiopia: An Observational Study</t>
  </si>
  <si>
    <t>https://www.scopus.com/inward/citedby.uri?partnerID=HzOxMe3b&amp;scp=85123994423&amp;origin=inward</t>
  </si>
  <si>
    <t>10.1155/2022/3981417</t>
  </si>
  <si>
    <t>https://api.elsevier.com/content/abstract/scopus_id/85123994423</t>
  </si>
  <si>
    <t>T.R. Chowdhury</t>
  </si>
  <si>
    <t>Risk factors for child stunting in Bangladesh: an analysis using MICS 2019 data</t>
  </si>
  <si>
    <t>Archives of Public Health</t>
  </si>
  <si>
    <t>https://www.scopus.com/inward/citedby.uri?partnerID=HzOxMe3b&amp;scp=85128632076&amp;origin=inward</t>
  </si>
  <si>
    <t>10.1186/s13690-022-00870-x</t>
  </si>
  <si>
    <t>0778-7367</t>
  </si>
  <si>
    <t>https://api.elsevier.com/content/abstract/scopus_id/85128632076</t>
  </si>
  <si>
    <t>U.R. Saha</t>
  </si>
  <si>
    <t>Risk factors and spatial variation of stunting among under-fives in Bangladesh: Challenges to reach the sustainable development goal</t>
  </si>
  <si>
    <t>Population Dynamics in Eastern India and Bangladesh: Demographic, Health and Developmental Issues</t>
  </si>
  <si>
    <t>https://www.scopus.com/inward/citedby.uri?partnerID=HzOxMe3b&amp;scp=85088730127&amp;origin=inward</t>
  </si>
  <si>
    <t>10.1007/978-981-15-3045-6_19</t>
  </si>
  <si>
    <t>https://api.elsevier.com/content/abstract/scopus_id/85088730127</t>
  </si>
  <si>
    <t>0.25</t>
  </si>
  <si>
    <t>V. Uwiringiyimana</t>
  </si>
  <si>
    <t>Bayesian geostatistical modelling of stunting in Rwanda: risk factors and spatially explicit residual stunting burden</t>
  </si>
  <si>
    <t>https://www.scopus.com/inward/citedby.uri?partnerID=HzOxMe3b&amp;scp=85123616099&amp;origin=inward</t>
  </si>
  <si>
    <t>10.1186/s12889-022-12552-y</t>
  </si>
  <si>
    <t>https://api.elsevier.com/content/abstract/scopus_id/85123616099</t>
  </si>
  <si>
    <t>4.50</t>
  </si>
  <si>
    <t>W. Oktaviana</t>
  </si>
  <si>
    <t>Effectiveness of health education and infant therapeutic group therapy on baby aged 0-6 months to prevent stunting risk factors: Maternal depression</t>
  </si>
  <si>
    <t>https://www.scopus.com/inward/citedby.uri?partnerID=HzOxMe3b&amp;scp=85130764765&amp;origin=inward</t>
  </si>
  <si>
    <t>10.4081/jphr.2021.2740</t>
  </si>
  <si>
    <t>https://api.elsevier.com/content/abstract/scopus_id/85130764765</t>
  </si>
  <si>
    <t>W.E.S. Donkor</t>
  </si>
  <si>
    <t>Risk factors of stunting and wasting in Somali pre-school age children: results from the 2019 Somalia micronutrient survey</t>
  </si>
  <si>
    <t>https://www.scopus.com/inward/citedby.uri?partnerID=HzOxMe3b&amp;scp=85124287332&amp;origin=inward</t>
  </si>
  <si>
    <t>10.1186/s12889-021-12439-4</t>
  </si>
  <si>
    <t>https://api.elsevier.com/content/abstract/scopus_id/85124287332</t>
  </si>
  <si>
    <t>Y. Kang</t>
  </si>
  <si>
    <t>Nutritional status and risk factors for stunting in preschool children in Bhutan</t>
  </si>
  <si>
    <t>https://www.scopus.com/inward/citedby.uri?partnerID=HzOxMe3b&amp;scp=85056334025&amp;origin=inward</t>
  </si>
  <si>
    <t>10.1111/mcn.12653</t>
  </si>
  <si>
    <t>https://api.elsevier.com/content/abstract/scopus_id/85056334025</t>
  </si>
  <si>
    <t>3.17</t>
  </si>
  <si>
    <t>Journal of Nutrition Q1</t>
  </si>
  <si>
    <t>Journal of Nutrition and Metabolism Q2</t>
  </si>
  <si>
    <t>Frontiers in Nutrition  Q2</t>
  </si>
  <si>
    <t>Journal of Public Health Q2</t>
  </si>
  <si>
    <t>Pediatric Gastroenterology, Hepatology and Nutrition  Q2</t>
  </si>
  <si>
    <t>International Health  Q2/Q1</t>
  </si>
  <si>
    <t>Annals of Global Health  Q2</t>
  </si>
  <si>
    <t>BMC Public Health  Q1</t>
  </si>
  <si>
    <t>PLoS ONE  Q1</t>
  </si>
  <si>
    <t>Pan African Medical Journal Q3</t>
  </si>
  <si>
    <t>Malaysian Journal of Medicine and Health Sciences Q4</t>
  </si>
  <si>
    <t>Asia Pacific Journal of Clinical Nutrition Q3</t>
  </si>
  <si>
    <t>Medicina (Lithuania) Q2</t>
  </si>
  <si>
    <t>BMJ Open  Q1</t>
  </si>
  <si>
    <t>International Journal of Environmental Research and Public Health Q2</t>
  </si>
  <si>
    <t>Maternal and Child Nutrition Q1  Q1</t>
  </si>
  <si>
    <t>Maternal and Child Nutrition Q1</t>
  </si>
  <si>
    <t>JAMA Network Open Q1</t>
  </si>
  <si>
    <t>Open Public Health Journal Q4</t>
  </si>
  <si>
    <t xml:space="preserve">BMJ Global Health Q1  </t>
  </si>
  <si>
    <t>Malaysian Journal of Nutrition Q4</t>
  </si>
  <si>
    <t>BMC Nutrition Q2</t>
  </si>
  <si>
    <t xml:space="preserve">Enfermeria Clinica  </t>
  </si>
  <si>
    <t>Nutrients  Q1</t>
  </si>
  <si>
    <t>Interdisciplinary Perspectives on Infectious Diseases Q3</t>
  </si>
  <si>
    <t>Pharmacy Education Q3</t>
  </si>
  <si>
    <t>Pharmacognosy Journal  Q3</t>
  </si>
  <si>
    <t>Child Indicators Research Q1</t>
  </si>
  <si>
    <t>Open Access Macedonian Journal of Medical Sciences Q3</t>
  </si>
  <si>
    <t xml:space="preserve">Enfermeria Clinica   </t>
  </si>
  <si>
    <t>Paediatrica Indonesiana(Paediatrica Indonesiana) Q4</t>
  </si>
  <si>
    <t>African Journal of Food, Agriculture, Nutrition and Development Q4</t>
  </si>
  <si>
    <t>Clinical Nutrition Open Science  Q3</t>
  </si>
  <si>
    <t>Current Science Q2</t>
  </si>
  <si>
    <t>Maternal and Child Health Journal Q2</t>
  </si>
  <si>
    <t>Iranian Journal of Public Health  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</si>
</sst>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0"/>
      <color theme="1"/>
      <name val="Times New Roman"/>
      <family val="1"/>
    </font>
    <font>
      <sz val="9"/>
      <color theme="1"/>
      <name val="Times New Roman"/>
      <family val="1"/>
    </font>
    <font>
      <b/>
      <sz val="9"/>
      <color theme="1"/>
      <name val="Times New Roman"/>
      <family val="1"/>
    </font>
    <font>
      <sz val="11"/>
      <color rgb="FFFF0000"/>
      <name val="Calibri"/>
      <family val="2"/>
      <scheme val="minor"/>
    </font>
    <font>
      <sz val="9"/>
      <color theme="1"/>
      <name val="Calibri"/>
      <family val="2"/>
      <scheme val="minor"/>
    </font>
    <font>
      <b/>
      <sz val="9"/>
      <color theme="1"/>
      <name val="Calibri"/>
      <family val="2"/>
      <scheme val="minor"/>
    </font>
    <font>
      <sz val="9"/>
      <color rgb="FFFF0000"/>
      <name val="Times New Roman"/>
      <family val="1"/>
    </font>
    <font>
      <sz val="11"/>
      <color theme="5" tint="-0.249977111117893"/>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FFFF99"/>
        <bgColor indexed="64"/>
      </patternFill>
    </fill>
    <fill>
      <patternFill patternType="solid">
        <fgColor rgb="FFFFC000"/>
        <bgColor indexed="64"/>
      </patternFill>
    </fill>
    <fill>
      <patternFill patternType="solid">
        <fgColor theme="9" tint="0.79998168889431442"/>
        <bgColor indexed="64"/>
      </patternFill>
    </fill>
    <fill>
      <patternFill patternType="solid">
        <fgColor rgb="FF00B0F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4">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xf>
    <xf numFmtId="0" fontId="2" fillId="0" borderId="1" xfId="0" applyFont="1" applyBorder="1" applyAlignment="1">
      <alignment horizontal="center" vertical="center"/>
    </xf>
    <xf numFmtId="0" fontId="4"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vertical="center" wrapText="1"/>
    </xf>
    <xf numFmtId="0" fontId="2" fillId="0" borderId="1" xfId="0" applyFont="1" applyBorder="1" applyAlignment="1">
      <alignment horizontal="left" vertical="center" wrapText="1"/>
    </xf>
    <xf numFmtId="0" fontId="6" fillId="0" borderId="1" xfId="0" applyFont="1" applyBorder="1" applyAlignment="1">
      <alignment horizontal="center" vertical="center"/>
    </xf>
    <xf numFmtId="0" fontId="0" fillId="0" borderId="1" xfId="0" applyBorder="1"/>
    <xf numFmtId="0" fontId="3" fillId="0" borderId="1" xfId="0" applyFont="1" applyBorder="1" applyAlignment="1">
      <alignment horizontal="left" vertical="center" wrapText="1"/>
    </xf>
    <xf numFmtId="0" fontId="6" fillId="0" borderId="1" xfId="0" applyFont="1" applyBorder="1"/>
    <xf numFmtId="0" fontId="6" fillId="0" borderId="0" xfId="0" applyFont="1"/>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6" fillId="0" borderId="1" xfId="0" applyFont="1" applyBorder="1" applyAlignment="1">
      <alignment horizontal="left" vertical="center" wrapText="1"/>
    </xf>
    <xf numFmtId="0" fontId="6" fillId="0" borderId="0" xfId="0" applyFont="1" applyAlignment="1">
      <alignment vertical="center" wrapText="1"/>
    </xf>
    <xf numFmtId="0" fontId="7" fillId="0" borderId="0" xfId="0" applyFont="1" applyAlignment="1">
      <alignment horizontal="center" vertical="center"/>
    </xf>
    <xf numFmtId="0" fontId="1" fillId="0" borderId="0" xfId="0" applyFont="1" applyAlignment="1">
      <alignment horizontal="center" vertical="center"/>
    </xf>
    <xf numFmtId="10" fontId="6" fillId="0" borderId="0" xfId="0" applyNumberFormat="1" applyFont="1" applyAlignment="1">
      <alignment horizontal="center" vertical="center"/>
    </xf>
    <xf numFmtId="0" fontId="7" fillId="2" borderId="0" xfId="0" applyFont="1" applyFill="1" applyAlignment="1">
      <alignment horizontal="center" vertical="center"/>
    </xf>
    <xf numFmtId="0" fontId="0" fillId="2" borderId="0" xfId="0" applyFill="1"/>
    <xf numFmtId="10" fontId="6" fillId="2" borderId="0" xfId="0" applyNumberFormat="1" applyFont="1" applyFill="1" applyAlignment="1">
      <alignment horizontal="center" vertical="center"/>
    </xf>
    <xf numFmtId="0" fontId="3" fillId="3" borderId="1" xfId="0" applyFont="1" applyFill="1" applyBorder="1" applyAlignment="1">
      <alignment horizontal="center" vertical="center" wrapText="1"/>
    </xf>
    <xf numFmtId="10" fontId="6" fillId="4" borderId="0" xfId="0" applyNumberFormat="1" applyFont="1" applyFill="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3"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0" fillId="2" borderId="1" xfId="0" applyFill="1" applyBorder="1"/>
    <xf numFmtId="0" fontId="8"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6" fillId="5" borderId="1" xfId="0" applyFont="1" applyFill="1" applyBorder="1" applyAlignment="1">
      <alignment vertical="center" wrapText="1"/>
    </xf>
    <xf numFmtId="0" fontId="6"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3" fillId="5" borderId="1" xfId="0" applyFont="1" applyFill="1" applyBorder="1"/>
    <xf numFmtId="0" fontId="0" fillId="5" borderId="1" xfId="0" applyFill="1" applyBorder="1"/>
    <xf numFmtId="0" fontId="3" fillId="5" borderId="1" xfId="0" applyFont="1" applyFill="1" applyBorder="1" applyAlignment="1">
      <alignment horizontal="center" vertical="center"/>
    </xf>
    <xf numFmtId="0" fontId="2" fillId="5" borderId="1" xfId="0" applyFont="1" applyFill="1" applyBorder="1"/>
    <xf numFmtId="0" fontId="6" fillId="5" borderId="1" xfId="0" applyFont="1" applyFill="1" applyBorder="1"/>
    <xf numFmtId="0" fontId="6" fillId="2" borderId="1" xfId="0" applyFont="1" applyFill="1" applyBorder="1"/>
    <xf numFmtId="10" fontId="6" fillId="6" borderId="0" xfId="0" applyNumberFormat="1" applyFont="1" applyFill="1" applyAlignment="1">
      <alignment horizontal="center" vertical="center"/>
    </xf>
    <xf numFmtId="0" fontId="3" fillId="6" borderId="1" xfId="0" applyFont="1" applyFill="1" applyBorder="1"/>
    <xf numFmtId="0" fontId="4" fillId="6" borderId="1" xfId="0" applyFont="1" applyFill="1" applyBorder="1" applyAlignment="1">
      <alignment horizontal="center" vertical="center"/>
    </xf>
    <xf numFmtId="0" fontId="2" fillId="6" borderId="1" xfId="0" applyFont="1" applyFill="1" applyBorder="1"/>
    <xf numFmtId="0" fontId="6" fillId="6" borderId="1" xfId="0" applyFont="1" applyFill="1" applyBorder="1"/>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wrapText="1"/>
    </xf>
    <xf numFmtId="22" fontId="0" fillId="0" borderId="0" xfId="0" applyNumberFormat="1"/>
    <xf numFmtId="0" fontId="5" fillId="0" borderId="0" xfId="0" applyFont="1"/>
    <xf numFmtId="0" fontId="9" fillId="0" borderId="0" xfId="0" applyFont="1"/>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97431-D092-404E-9195-DB82575212B2}">
  <dimension ref="A2:J33"/>
  <sheetViews>
    <sheetView showGridLines="0" topLeftCell="A30" workbookViewId="0">
      <selection activeCell="H17" sqref="H17"/>
    </sheetView>
  </sheetViews>
  <sheetFormatPr defaultRowHeight="14.4" x14ac:dyDescent="0.3"/>
  <cols>
    <col min="1" max="1" width="7.109375" customWidth="1"/>
    <col min="3" max="3" width="34.44140625" customWidth="1"/>
    <col min="4" max="4" width="27.88671875" customWidth="1"/>
    <col min="5" max="5" width="28" customWidth="1"/>
    <col min="6" max="6" width="48.33203125" customWidth="1"/>
    <col min="7" max="7" width="44.5546875" customWidth="1"/>
    <col min="8" max="8" width="45" customWidth="1"/>
    <col min="9" max="9" width="58.109375" customWidth="1"/>
    <col min="10" max="10" width="63.5546875" customWidth="1"/>
  </cols>
  <sheetData>
    <row r="2" spans="1:10" x14ac:dyDescent="0.3">
      <c r="A2" s="1" t="s">
        <v>7</v>
      </c>
      <c r="B2" s="1" t="s">
        <v>0</v>
      </c>
      <c r="C2" s="2" t="s">
        <v>9</v>
      </c>
      <c r="D2" s="1" t="s">
        <v>6</v>
      </c>
      <c r="E2" s="2" t="s">
        <v>1</v>
      </c>
      <c r="F2" s="1" t="s">
        <v>2</v>
      </c>
      <c r="G2" s="1" t="s">
        <v>3</v>
      </c>
      <c r="H2" s="2" t="s">
        <v>13</v>
      </c>
      <c r="I2" s="1" t="s">
        <v>4</v>
      </c>
      <c r="J2" s="3" t="s">
        <v>5</v>
      </c>
    </row>
    <row r="3" spans="1:10" ht="129.6" x14ac:dyDescent="0.3">
      <c r="A3" s="54">
        <v>1</v>
      </c>
      <c r="B3" s="55" t="s">
        <v>282</v>
      </c>
      <c r="C3" s="55" t="s">
        <v>45</v>
      </c>
      <c r="D3" s="55" t="s">
        <v>10</v>
      </c>
      <c r="E3" s="55" t="s">
        <v>11</v>
      </c>
      <c r="F3" s="55" t="s">
        <v>12</v>
      </c>
      <c r="G3" s="55" t="s">
        <v>15</v>
      </c>
      <c r="H3" s="55" t="s">
        <v>14</v>
      </c>
      <c r="I3" s="55" t="s">
        <v>301</v>
      </c>
      <c r="J3" s="55" t="s">
        <v>16</v>
      </c>
    </row>
    <row r="4" spans="1:10" ht="172.8" x14ac:dyDescent="0.3">
      <c r="A4" s="54">
        <v>2</v>
      </c>
      <c r="B4" s="54" t="s">
        <v>284</v>
      </c>
      <c r="C4" s="55" t="s">
        <v>46</v>
      </c>
      <c r="D4" s="55" t="s">
        <v>47</v>
      </c>
      <c r="E4" s="55" t="s">
        <v>48</v>
      </c>
      <c r="F4" s="55" t="s">
        <v>49</v>
      </c>
      <c r="G4" s="55" t="s">
        <v>50</v>
      </c>
      <c r="H4" s="55" t="s">
        <v>51</v>
      </c>
      <c r="I4" s="55" t="s">
        <v>302</v>
      </c>
      <c r="J4" s="55" t="s">
        <v>52</v>
      </c>
    </row>
    <row r="5" spans="1:10" ht="144" x14ac:dyDescent="0.3">
      <c r="A5" s="54">
        <v>3</v>
      </c>
      <c r="B5" s="54" t="s">
        <v>283</v>
      </c>
      <c r="C5" s="55" t="s">
        <v>299</v>
      </c>
      <c r="D5" s="55" t="s">
        <v>53</v>
      </c>
      <c r="E5" s="55" t="s">
        <v>54</v>
      </c>
      <c r="F5" s="55" t="s">
        <v>55</v>
      </c>
      <c r="G5" s="55" t="s">
        <v>56</v>
      </c>
      <c r="H5" s="55" t="s">
        <v>57</v>
      </c>
      <c r="I5" s="55" t="s">
        <v>303</v>
      </c>
      <c r="J5" s="55" t="s">
        <v>58</v>
      </c>
    </row>
    <row r="6" spans="1:10" ht="100.8" x14ac:dyDescent="0.3">
      <c r="A6" s="54">
        <v>4</v>
      </c>
      <c r="B6" s="54" t="s">
        <v>285</v>
      </c>
      <c r="C6" s="55" t="s">
        <v>177</v>
      </c>
      <c r="D6" s="55" t="s">
        <v>59</v>
      </c>
      <c r="E6" s="55" t="s">
        <v>60</v>
      </c>
      <c r="F6" s="55" t="s">
        <v>61</v>
      </c>
      <c r="G6" s="55" t="s">
        <v>62</v>
      </c>
      <c r="H6" s="55" t="s">
        <v>63</v>
      </c>
      <c r="I6" s="55" t="s">
        <v>304</v>
      </c>
      <c r="J6" s="56" t="s">
        <v>64</v>
      </c>
    </row>
    <row r="7" spans="1:10" ht="144" x14ac:dyDescent="0.3">
      <c r="A7" s="54">
        <v>5</v>
      </c>
      <c r="B7" s="54" t="s">
        <v>285</v>
      </c>
      <c r="C7" s="55" t="s">
        <v>17</v>
      </c>
      <c r="D7" s="55" t="s">
        <v>18</v>
      </c>
      <c r="E7" s="55" t="s">
        <v>19</v>
      </c>
      <c r="F7" s="55" t="s">
        <v>20</v>
      </c>
      <c r="G7" s="55" t="s">
        <v>25</v>
      </c>
      <c r="H7" s="55" t="s">
        <v>21</v>
      </c>
      <c r="I7" s="55" t="s">
        <v>305</v>
      </c>
      <c r="J7" s="55" t="s">
        <v>22</v>
      </c>
    </row>
    <row r="8" spans="1:10" ht="144" x14ac:dyDescent="0.3">
      <c r="A8" s="54">
        <v>6</v>
      </c>
      <c r="B8" s="54" t="s">
        <v>286</v>
      </c>
      <c r="C8" s="55" t="s">
        <v>23</v>
      </c>
      <c r="D8" s="55" t="s">
        <v>24</v>
      </c>
      <c r="E8" s="55" t="s">
        <v>27</v>
      </c>
      <c r="F8" s="55" t="s">
        <v>26</v>
      </c>
      <c r="G8" s="55" t="s">
        <v>28</v>
      </c>
      <c r="H8" s="55" t="s">
        <v>29</v>
      </c>
      <c r="I8" s="55" t="s">
        <v>306</v>
      </c>
      <c r="J8" s="55" t="s">
        <v>30</v>
      </c>
    </row>
    <row r="9" spans="1:10" ht="115.2" x14ac:dyDescent="0.3">
      <c r="A9" s="54">
        <v>7</v>
      </c>
      <c r="B9" s="54" t="s">
        <v>287</v>
      </c>
      <c r="C9" s="55" t="s">
        <v>65</v>
      </c>
      <c r="D9" s="55" t="s">
        <v>66</v>
      </c>
      <c r="E9" s="55" t="s">
        <v>68</v>
      </c>
      <c r="F9" s="55" t="s">
        <v>67</v>
      </c>
      <c r="G9" s="55" t="s">
        <v>69</v>
      </c>
      <c r="H9" s="55" t="s">
        <v>70</v>
      </c>
      <c r="I9" s="55" t="s">
        <v>307</v>
      </c>
      <c r="J9" s="55" t="s">
        <v>71</v>
      </c>
    </row>
    <row r="10" spans="1:10" ht="158.4" x14ac:dyDescent="0.3">
      <c r="A10" s="54">
        <v>8</v>
      </c>
      <c r="B10" s="55" t="s">
        <v>281</v>
      </c>
      <c r="C10" s="55" t="s">
        <v>31</v>
      </c>
      <c r="D10" s="55" t="s">
        <v>32</v>
      </c>
      <c r="E10" s="55" t="s">
        <v>33</v>
      </c>
      <c r="F10" s="55" t="s">
        <v>34</v>
      </c>
      <c r="G10" s="55" t="s">
        <v>35</v>
      </c>
      <c r="H10" s="55" t="s">
        <v>36</v>
      </c>
      <c r="I10" s="55" t="s">
        <v>308</v>
      </c>
      <c r="J10" s="55" t="s">
        <v>37</v>
      </c>
    </row>
    <row r="11" spans="1:10" ht="158.4" x14ac:dyDescent="0.3">
      <c r="A11" s="54">
        <v>9</v>
      </c>
      <c r="B11" s="54" t="s">
        <v>286</v>
      </c>
      <c r="C11" s="55" t="s">
        <v>38</v>
      </c>
      <c r="D11" s="55" t="s">
        <v>39</v>
      </c>
      <c r="E11" s="55" t="s">
        <v>42</v>
      </c>
      <c r="F11" s="55" t="s">
        <v>40</v>
      </c>
      <c r="G11" s="55" t="s">
        <v>41</v>
      </c>
      <c r="H11" s="54"/>
      <c r="I11" s="55" t="s">
        <v>309</v>
      </c>
      <c r="J11" s="55" t="s">
        <v>310</v>
      </c>
    </row>
    <row r="12" spans="1:10" ht="187.2" x14ac:dyDescent="0.3">
      <c r="A12" s="54">
        <v>10</v>
      </c>
      <c r="B12" s="54" t="s">
        <v>285</v>
      </c>
      <c r="C12" s="55" t="s">
        <v>72</v>
      </c>
      <c r="D12" s="55" t="s">
        <v>73</v>
      </c>
      <c r="E12" s="55" t="s">
        <v>74</v>
      </c>
      <c r="F12" s="55" t="s">
        <v>75</v>
      </c>
      <c r="G12" s="55" t="s">
        <v>76</v>
      </c>
      <c r="H12" s="55" t="s">
        <v>77</v>
      </c>
      <c r="I12" s="55" t="s">
        <v>311</v>
      </c>
      <c r="J12" s="55" t="s">
        <v>312</v>
      </c>
    </row>
    <row r="13" spans="1:10" ht="129.6" x14ac:dyDescent="0.3">
      <c r="A13" s="54">
        <v>11</v>
      </c>
      <c r="B13" s="54" t="s">
        <v>285</v>
      </c>
      <c r="C13" s="55" t="s">
        <v>78</v>
      </c>
      <c r="D13" s="55" t="s">
        <v>79</v>
      </c>
      <c r="E13" s="55"/>
      <c r="F13" s="55" t="s">
        <v>80</v>
      </c>
      <c r="G13" s="55" t="s">
        <v>81</v>
      </c>
      <c r="H13" s="55" t="s">
        <v>82</v>
      </c>
      <c r="I13" s="55" t="s">
        <v>313</v>
      </c>
      <c r="J13" s="55" t="s">
        <v>314</v>
      </c>
    </row>
    <row r="14" spans="1:10" ht="115.2" x14ac:dyDescent="0.3">
      <c r="A14" s="54">
        <v>12</v>
      </c>
      <c r="B14" s="54" t="s">
        <v>288</v>
      </c>
      <c r="C14" s="55" t="s">
        <v>43</v>
      </c>
      <c r="D14" s="55" t="s">
        <v>44</v>
      </c>
      <c r="E14" s="55" t="s">
        <v>182</v>
      </c>
      <c r="F14" s="55" t="s">
        <v>178</v>
      </c>
      <c r="G14" s="55" t="s">
        <v>180</v>
      </c>
      <c r="H14" s="55" t="s">
        <v>179</v>
      </c>
      <c r="I14" s="55" t="s">
        <v>315</v>
      </c>
      <c r="J14" s="55" t="s">
        <v>316</v>
      </c>
    </row>
    <row r="15" spans="1:10" x14ac:dyDescent="0.3">
      <c r="A15" s="63" t="s">
        <v>129</v>
      </c>
      <c r="B15" s="63"/>
      <c r="C15" s="63"/>
      <c r="D15" s="63"/>
      <c r="E15" s="63"/>
      <c r="F15" s="63"/>
      <c r="G15" s="63"/>
      <c r="H15" s="63"/>
      <c r="I15" s="63"/>
      <c r="J15" s="63"/>
    </row>
    <row r="16" spans="1:10" ht="184.8" customHeight="1" x14ac:dyDescent="0.3">
      <c r="A16" s="54">
        <v>13</v>
      </c>
      <c r="B16" s="55" t="s">
        <v>289</v>
      </c>
      <c r="C16" s="55" t="s">
        <v>130</v>
      </c>
      <c r="D16" s="55" t="s">
        <v>131</v>
      </c>
      <c r="E16" s="55" t="s">
        <v>181</v>
      </c>
      <c r="F16" s="55" t="s">
        <v>132</v>
      </c>
      <c r="G16" s="55" t="s">
        <v>133</v>
      </c>
      <c r="H16" s="55" t="s">
        <v>134</v>
      </c>
      <c r="I16" s="55" t="s">
        <v>317</v>
      </c>
      <c r="J16" s="55" t="s">
        <v>318</v>
      </c>
    </row>
    <row r="17" spans="1:10" ht="183" customHeight="1" x14ac:dyDescent="0.3">
      <c r="A17" s="54">
        <v>14</v>
      </c>
      <c r="B17" s="54" t="s">
        <v>290</v>
      </c>
      <c r="C17" s="55" t="s">
        <v>135</v>
      </c>
      <c r="D17" s="55" t="s">
        <v>136</v>
      </c>
      <c r="E17" s="55" t="s">
        <v>238</v>
      </c>
      <c r="F17" s="55" t="s">
        <v>241</v>
      </c>
      <c r="G17" s="55" t="s">
        <v>242</v>
      </c>
      <c r="H17" s="55" t="s">
        <v>243</v>
      </c>
      <c r="I17" s="55" t="s">
        <v>319</v>
      </c>
      <c r="J17" s="55" t="s">
        <v>153</v>
      </c>
    </row>
    <row r="18" spans="1:10" ht="136.19999999999999" customHeight="1" x14ac:dyDescent="0.3">
      <c r="A18" s="54">
        <v>15</v>
      </c>
      <c r="B18" s="55" t="s">
        <v>289</v>
      </c>
      <c r="C18" s="55" t="s">
        <v>139</v>
      </c>
      <c r="D18" s="55" t="s">
        <v>140</v>
      </c>
      <c r="E18" s="55" t="s">
        <v>144</v>
      </c>
      <c r="F18" s="55" t="s">
        <v>141</v>
      </c>
      <c r="G18" s="55" t="s">
        <v>142</v>
      </c>
      <c r="H18" s="55" t="s">
        <v>143</v>
      </c>
      <c r="I18" s="55" t="s">
        <v>320</v>
      </c>
      <c r="J18" s="55" t="s">
        <v>321</v>
      </c>
    </row>
    <row r="19" spans="1:10" ht="72" x14ac:dyDescent="0.3">
      <c r="A19" s="54">
        <v>16</v>
      </c>
      <c r="B19" s="55" t="s">
        <v>291</v>
      </c>
      <c r="C19" s="55" t="s">
        <v>145</v>
      </c>
      <c r="D19" s="55" t="s">
        <v>146</v>
      </c>
      <c r="E19" s="55" t="s">
        <v>147</v>
      </c>
      <c r="F19" s="55" t="s">
        <v>148</v>
      </c>
      <c r="G19" s="55" t="s">
        <v>149</v>
      </c>
      <c r="H19" s="55" t="s">
        <v>150</v>
      </c>
      <c r="I19" s="55" t="s">
        <v>322</v>
      </c>
      <c r="J19" s="55" t="s">
        <v>151</v>
      </c>
    </row>
    <row r="20" spans="1:10" ht="129.6" x14ac:dyDescent="0.3">
      <c r="A20" s="54">
        <v>17</v>
      </c>
      <c r="B20" s="55" t="s">
        <v>292</v>
      </c>
      <c r="C20" s="55" t="s">
        <v>152</v>
      </c>
      <c r="D20" s="55" t="s">
        <v>154</v>
      </c>
      <c r="E20" s="54"/>
      <c r="F20" s="55" t="s">
        <v>155</v>
      </c>
      <c r="G20" s="55" t="s">
        <v>156</v>
      </c>
      <c r="H20" s="55" t="s">
        <v>157</v>
      </c>
      <c r="I20" s="55" t="s">
        <v>323</v>
      </c>
      <c r="J20" s="55" t="s">
        <v>158</v>
      </c>
    </row>
    <row r="21" spans="1:10" ht="129.6" x14ac:dyDescent="0.3">
      <c r="A21" s="54">
        <v>18</v>
      </c>
      <c r="B21" s="55" t="s">
        <v>291</v>
      </c>
      <c r="C21" s="55" t="s">
        <v>159</v>
      </c>
      <c r="D21" s="55" t="s">
        <v>160</v>
      </c>
      <c r="E21" s="55" t="s">
        <v>161</v>
      </c>
      <c r="F21" s="55" t="s">
        <v>162</v>
      </c>
      <c r="G21" s="55" t="s">
        <v>163</v>
      </c>
      <c r="H21" s="55" t="s">
        <v>164</v>
      </c>
      <c r="I21" s="55" t="s">
        <v>324</v>
      </c>
      <c r="J21" s="55" t="s">
        <v>165</v>
      </c>
    </row>
    <row r="22" spans="1:10" ht="100.8" x14ac:dyDescent="0.3">
      <c r="A22" s="54">
        <v>19</v>
      </c>
      <c r="B22" s="54" t="s">
        <v>293</v>
      </c>
      <c r="C22" s="55" t="s">
        <v>166</v>
      </c>
      <c r="D22" s="55" t="s">
        <v>167</v>
      </c>
      <c r="E22" s="55" t="s">
        <v>137</v>
      </c>
      <c r="F22" s="55" t="s">
        <v>138</v>
      </c>
      <c r="G22" s="55" t="s">
        <v>168</v>
      </c>
      <c r="H22" s="55" t="s">
        <v>169</v>
      </c>
      <c r="I22" s="55" t="s">
        <v>325</v>
      </c>
      <c r="J22" s="55" t="s">
        <v>326</v>
      </c>
    </row>
    <row r="23" spans="1:10" ht="86.4" x14ac:dyDescent="0.3">
      <c r="A23" s="54">
        <v>20</v>
      </c>
      <c r="B23" s="55" t="s">
        <v>294</v>
      </c>
      <c r="C23" s="55" t="s">
        <v>170</v>
      </c>
      <c r="D23" s="55" t="s">
        <v>171</v>
      </c>
      <c r="E23" s="55" t="s">
        <v>172</v>
      </c>
      <c r="F23" s="55" t="s">
        <v>173</v>
      </c>
      <c r="G23" s="55" t="s">
        <v>174</v>
      </c>
      <c r="H23" s="55" t="s">
        <v>175</v>
      </c>
      <c r="I23" s="55" t="s">
        <v>327</v>
      </c>
      <c r="J23" s="55" t="s">
        <v>176</v>
      </c>
    </row>
    <row r="24" spans="1:10" ht="20.399999999999999" customHeight="1" x14ac:dyDescent="0.3">
      <c r="A24" s="63" t="s">
        <v>190</v>
      </c>
      <c r="B24" s="63"/>
      <c r="C24" s="63"/>
      <c r="D24" s="63"/>
      <c r="E24" s="63"/>
      <c r="F24" s="63"/>
      <c r="G24" s="63"/>
      <c r="H24" s="63"/>
      <c r="I24" s="63"/>
      <c r="J24" s="63"/>
    </row>
    <row r="25" spans="1:10" ht="144" x14ac:dyDescent="0.3">
      <c r="A25" s="54">
        <v>1</v>
      </c>
      <c r="B25" s="53" t="s">
        <v>295</v>
      </c>
      <c r="C25" s="55" t="s">
        <v>300</v>
      </c>
      <c r="D25" s="55" t="s">
        <v>199</v>
      </c>
      <c r="E25" s="55" t="s">
        <v>200</v>
      </c>
      <c r="F25" s="55" t="s">
        <v>201</v>
      </c>
      <c r="G25" s="55" t="s">
        <v>202</v>
      </c>
      <c r="H25" s="55" t="s">
        <v>203</v>
      </c>
      <c r="I25" s="55" t="s">
        <v>328</v>
      </c>
      <c r="J25" s="55" t="s">
        <v>204</v>
      </c>
    </row>
    <row r="26" spans="1:10" ht="115.2" x14ac:dyDescent="0.3">
      <c r="A26" s="54">
        <v>22</v>
      </c>
      <c r="B26" s="54" t="s">
        <v>296</v>
      </c>
      <c r="C26" s="55" t="s">
        <v>191</v>
      </c>
      <c r="D26" s="55" t="s">
        <v>192</v>
      </c>
      <c r="E26" s="55" t="s">
        <v>193</v>
      </c>
      <c r="F26" s="55" t="s">
        <v>194</v>
      </c>
      <c r="G26" s="55" t="s">
        <v>196</v>
      </c>
      <c r="H26" s="55" t="s">
        <v>195</v>
      </c>
      <c r="I26" s="55" t="s">
        <v>197</v>
      </c>
      <c r="J26" s="55" t="s">
        <v>198</v>
      </c>
    </row>
    <row r="27" spans="1:10" ht="158.4" x14ac:dyDescent="0.3">
      <c r="A27" s="54">
        <v>23</v>
      </c>
      <c r="B27" s="55" t="s">
        <v>297</v>
      </c>
      <c r="C27" s="55" t="s">
        <v>206</v>
      </c>
      <c r="D27" s="55" t="s">
        <v>205</v>
      </c>
      <c r="E27" s="55" t="s">
        <v>207</v>
      </c>
      <c r="F27" s="55" t="s">
        <v>208</v>
      </c>
      <c r="G27" s="55" t="s">
        <v>209</v>
      </c>
      <c r="H27" s="55" t="s">
        <v>210</v>
      </c>
      <c r="I27" s="55" t="s">
        <v>211</v>
      </c>
      <c r="J27" s="55" t="s">
        <v>212</v>
      </c>
    </row>
    <row r="28" spans="1:10" ht="115.2" x14ac:dyDescent="0.3">
      <c r="A28" s="54">
        <v>24</v>
      </c>
      <c r="B28" s="54" t="s">
        <v>293</v>
      </c>
      <c r="C28" s="55" t="s">
        <v>213</v>
      </c>
      <c r="D28" s="55" t="s">
        <v>214</v>
      </c>
      <c r="E28" s="55" t="s">
        <v>215</v>
      </c>
      <c r="F28" s="55" t="s">
        <v>216</v>
      </c>
      <c r="G28" s="55" t="s">
        <v>217</v>
      </c>
      <c r="H28" s="55" t="s">
        <v>218</v>
      </c>
      <c r="I28" s="55" t="s">
        <v>219</v>
      </c>
      <c r="J28" s="55" t="s">
        <v>220</v>
      </c>
    </row>
    <row r="29" spans="1:10" ht="115.2" x14ac:dyDescent="0.3">
      <c r="A29" s="54">
        <v>25</v>
      </c>
      <c r="B29" s="55" t="s">
        <v>298</v>
      </c>
      <c r="C29" s="55" t="s">
        <v>222</v>
      </c>
      <c r="D29" s="55" t="s">
        <v>221</v>
      </c>
      <c r="E29" s="55" t="s">
        <v>223</v>
      </c>
      <c r="F29" s="55" t="s">
        <v>224</v>
      </c>
      <c r="G29" s="55" t="s">
        <v>225</v>
      </c>
      <c r="H29" s="55" t="s">
        <v>226</v>
      </c>
      <c r="I29" s="55" t="s">
        <v>227</v>
      </c>
      <c r="J29" s="55" t="s">
        <v>228</v>
      </c>
    </row>
    <row r="30" spans="1:10" ht="187.2" x14ac:dyDescent="0.3">
      <c r="A30" s="54">
        <v>26</v>
      </c>
      <c r="B30" s="54" t="s">
        <v>288</v>
      </c>
      <c r="C30" s="55" t="s">
        <v>230</v>
      </c>
      <c r="D30" s="55" t="s">
        <v>229</v>
      </c>
      <c r="E30" s="55" t="s">
        <v>231</v>
      </c>
      <c r="F30" s="55" t="s">
        <v>232</v>
      </c>
      <c r="G30" s="55" t="s">
        <v>233</v>
      </c>
      <c r="H30" s="55" t="s">
        <v>234</v>
      </c>
      <c r="I30" s="55" t="s">
        <v>235</v>
      </c>
      <c r="J30" s="55" t="s">
        <v>236</v>
      </c>
    </row>
    <row r="31" spans="1:10" x14ac:dyDescent="0.3">
      <c r="A31" s="57">
        <v>27</v>
      </c>
      <c r="B31" s="57"/>
      <c r="C31" s="57"/>
      <c r="D31" s="57"/>
      <c r="E31" s="58"/>
      <c r="F31" s="58"/>
      <c r="G31" s="58"/>
      <c r="H31" s="58"/>
      <c r="I31" s="58"/>
      <c r="J31" s="58"/>
    </row>
    <row r="32" spans="1:10" x14ac:dyDescent="0.3">
      <c r="A32" s="57">
        <v>28</v>
      </c>
      <c r="E32" s="59"/>
      <c r="F32" s="59"/>
      <c r="G32" s="59"/>
      <c r="H32" s="59"/>
      <c r="I32" s="59"/>
      <c r="J32" s="59"/>
    </row>
    <row r="33" spans="1:10" ht="57.6" x14ac:dyDescent="0.3">
      <c r="A33" s="57">
        <v>29</v>
      </c>
      <c r="B33" s="57">
        <v>2022</v>
      </c>
      <c r="C33" s="58" t="s">
        <v>189</v>
      </c>
      <c r="E33" s="59"/>
      <c r="F33" s="59"/>
      <c r="G33" s="59"/>
      <c r="H33" s="59"/>
      <c r="I33" s="59"/>
      <c r="J33" s="59"/>
    </row>
  </sheetData>
  <mergeCells count="2">
    <mergeCell ref="A15:J15"/>
    <mergeCell ref="A24:J24"/>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F8A33-FC11-41B7-BC65-B7CC7A46D456}">
  <dimension ref="A1:Z78"/>
  <sheetViews>
    <sheetView topLeftCell="A49" workbookViewId="0">
      <selection activeCell="E72" sqref="E72"/>
    </sheetView>
  </sheetViews>
  <sheetFormatPr defaultRowHeight="14.4" x14ac:dyDescent="0.3"/>
  <cols>
    <col min="2" max="2" width="18.109375" customWidth="1"/>
    <col min="3" max="3" width="34.21875" customWidth="1"/>
    <col min="5" max="5" width="25.21875" customWidth="1"/>
    <col min="6" max="6" width="32.77734375" customWidth="1"/>
    <col min="7" max="7" width="30.77734375" customWidth="1"/>
    <col min="8" max="8" width="24" customWidth="1"/>
  </cols>
  <sheetData>
    <row r="1" spans="1:26" x14ac:dyDescent="0.3">
      <c r="A1" t="s">
        <v>334</v>
      </c>
      <c r="B1" t="s">
        <v>335</v>
      </c>
      <c r="C1" t="s">
        <v>336</v>
      </c>
      <c r="D1" t="s">
        <v>337</v>
      </c>
      <c r="E1" t="s">
        <v>329</v>
      </c>
      <c r="F1" t="s">
        <v>338</v>
      </c>
      <c r="G1" t="s">
        <v>339</v>
      </c>
      <c r="H1" t="s">
        <v>340</v>
      </c>
      <c r="I1" t="s">
        <v>341</v>
      </c>
      <c r="J1" t="s">
        <v>330</v>
      </c>
      <c r="K1" t="s">
        <v>342</v>
      </c>
      <c r="L1" t="s">
        <v>343</v>
      </c>
      <c r="M1" t="s">
        <v>344</v>
      </c>
      <c r="N1" t="s">
        <v>345</v>
      </c>
      <c r="O1" t="s">
        <v>346</v>
      </c>
      <c r="P1" t="s">
        <v>347</v>
      </c>
      <c r="Q1" t="s">
        <v>348</v>
      </c>
      <c r="R1" t="s">
        <v>349</v>
      </c>
      <c r="S1" t="s">
        <v>331</v>
      </c>
      <c r="T1" t="s">
        <v>350</v>
      </c>
      <c r="U1" t="s">
        <v>351</v>
      </c>
      <c r="V1" t="s">
        <v>352</v>
      </c>
      <c r="W1" t="s">
        <v>353</v>
      </c>
      <c r="X1" t="s">
        <v>354</v>
      </c>
      <c r="Y1" t="s">
        <v>355</v>
      </c>
      <c r="Z1" t="s">
        <v>356</v>
      </c>
    </row>
    <row r="2" spans="1:26" x14ac:dyDescent="0.3">
      <c r="A2">
        <v>14</v>
      </c>
      <c r="B2" t="s">
        <v>357</v>
      </c>
      <c r="C2" t="s">
        <v>358</v>
      </c>
      <c r="D2">
        <v>2020</v>
      </c>
      <c r="E2" t="s">
        <v>847</v>
      </c>
      <c r="H2" t="s">
        <v>360</v>
      </c>
      <c r="I2">
        <v>17</v>
      </c>
      <c r="J2" s="60">
        <v>45338.889618055553</v>
      </c>
      <c r="K2" t="s">
        <v>361</v>
      </c>
      <c r="L2" t="s">
        <v>362</v>
      </c>
      <c r="M2" t="s">
        <v>363</v>
      </c>
      <c r="N2" t="s">
        <v>364</v>
      </c>
      <c r="O2">
        <v>20</v>
      </c>
      <c r="P2">
        <v>1</v>
      </c>
      <c r="S2">
        <v>14</v>
      </c>
      <c r="T2" t="s">
        <v>365</v>
      </c>
      <c r="U2">
        <v>14</v>
      </c>
      <c r="V2">
        <v>1</v>
      </c>
      <c r="W2">
        <v>4</v>
      </c>
    </row>
    <row r="3" spans="1:26" x14ac:dyDescent="0.3">
      <c r="A3">
        <v>8</v>
      </c>
      <c r="B3" t="s">
        <v>366</v>
      </c>
      <c r="C3" t="s">
        <v>367</v>
      </c>
      <c r="D3">
        <v>2021</v>
      </c>
      <c r="E3" t="s">
        <v>845</v>
      </c>
      <c r="H3" t="s">
        <v>368</v>
      </c>
      <c r="I3">
        <v>25</v>
      </c>
      <c r="J3" s="60">
        <v>45338.889618055553</v>
      </c>
      <c r="K3" t="s">
        <v>361</v>
      </c>
      <c r="L3" t="s">
        <v>369</v>
      </c>
      <c r="M3" t="s">
        <v>370</v>
      </c>
      <c r="N3" t="s">
        <v>371</v>
      </c>
      <c r="O3">
        <v>13</v>
      </c>
      <c r="P3">
        <v>3</v>
      </c>
      <c r="Q3">
        <v>262</v>
      </c>
      <c r="R3">
        <v>271</v>
      </c>
      <c r="S3">
        <v>8</v>
      </c>
      <c r="T3" t="s">
        <v>333</v>
      </c>
      <c r="U3">
        <v>8</v>
      </c>
      <c r="V3">
        <v>1</v>
      </c>
      <c r="W3">
        <v>3</v>
      </c>
    </row>
    <row r="4" spans="1:26" x14ac:dyDescent="0.3">
      <c r="A4">
        <v>82</v>
      </c>
      <c r="B4" t="s">
        <v>372</v>
      </c>
      <c r="C4" t="s">
        <v>373</v>
      </c>
      <c r="D4">
        <v>2019</v>
      </c>
      <c r="E4" t="s">
        <v>847</v>
      </c>
      <c r="H4" t="s">
        <v>374</v>
      </c>
      <c r="I4">
        <v>1</v>
      </c>
      <c r="J4" s="60">
        <v>45338.889618055553</v>
      </c>
      <c r="K4" t="s">
        <v>361</v>
      </c>
      <c r="L4" t="s">
        <v>375</v>
      </c>
      <c r="M4" t="s">
        <v>363</v>
      </c>
      <c r="N4" t="s">
        <v>376</v>
      </c>
      <c r="O4">
        <v>19</v>
      </c>
      <c r="P4">
        <v>1</v>
      </c>
      <c r="S4">
        <v>82</v>
      </c>
      <c r="T4" t="s">
        <v>377</v>
      </c>
      <c r="U4">
        <v>82</v>
      </c>
      <c r="V4">
        <v>1</v>
      </c>
      <c r="W4">
        <v>5</v>
      </c>
    </row>
    <row r="5" spans="1:26" x14ac:dyDescent="0.3">
      <c r="A5">
        <v>2</v>
      </c>
      <c r="B5" s="61" t="s">
        <v>381</v>
      </c>
      <c r="C5" s="61" t="s">
        <v>382</v>
      </c>
      <c r="D5">
        <v>2020</v>
      </c>
      <c r="E5" s="61" t="s">
        <v>383</v>
      </c>
      <c r="G5" t="s">
        <v>384</v>
      </c>
      <c r="H5" t="s">
        <v>385</v>
      </c>
      <c r="I5">
        <v>53</v>
      </c>
      <c r="J5" s="60">
        <v>45338.889618055553</v>
      </c>
      <c r="K5" t="s">
        <v>361</v>
      </c>
      <c r="L5" t="s">
        <v>386</v>
      </c>
      <c r="M5" t="s">
        <v>387</v>
      </c>
      <c r="N5" t="s">
        <v>388</v>
      </c>
      <c r="O5">
        <v>30</v>
      </c>
      <c r="Q5">
        <v>149</v>
      </c>
      <c r="R5">
        <v>152</v>
      </c>
      <c r="S5">
        <v>2</v>
      </c>
      <c r="T5" t="s">
        <v>389</v>
      </c>
      <c r="U5">
        <v>2</v>
      </c>
      <c r="V5">
        <v>1</v>
      </c>
      <c r="W5">
        <v>4</v>
      </c>
    </row>
    <row r="6" spans="1:26" x14ac:dyDescent="0.3">
      <c r="A6">
        <v>7</v>
      </c>
      <c r="B6" t="s">
        <v>390</v>
      </c>
      <c r="C6" t="s">
        <v>391</v>
      </c>
      <c r="D6">
        <v>2020</v>
      </c>
      <c r="E6" t="s">
        <v>844</v>
      </c>
      <c r="H6" t="s">
        <v>392</v>
      </c>
      <c r="I6">
        <v>27</v>
      </c>
      <c r="J6" s="60">
        <v>45338.889618055553</v>
      </c>
      <c r="K6" t="s">
        <v>361</v>
      </c>
      <c r="L6" t="s">
        <v>393</v>
      </c>
      <c r="M6" t="s">
        <v>394</v>
      </c>
      <c r="N6" t="s">
        <v>395</v>
      </c>
      <c r="O6">
        <v>23</v>
      </c>
      <c r="P6">
        <v>5</v>
      </c>
      <c r="S6">
        <v>7</v>
      </c>
      <c r="T6" t="s">
        <v>396</v>
      </c>
      <c r="U6">
        <v>7</v>
      </c>
      <c r="V6">
        <v>1</v>
      </c>
      <c r="W6">
        <v>4</v>
      </c>
    </row>
    <row r="7" spans="1:26" x14ac:dyDescent="0.3">
      <c r="A7">
        <v>2</v>
      </c>
      <c r="B7" t="s">
        <v>397</v>
      </c>
      <c r="C7" s="61" t="s">
        <v>398</v>
      </c>
      <c r="D7">
        <v>2020</v>
      </c>
      <c r="E7" s="61" t="s">
        <v>383</v>
      </c>
      <c r="G7" t="s">
        <v>399</v>
      </c>
      <c r="H7" t="s">
        <v>400</v>
      </c>
      <c r="I7">
        <v>52</v>
      </c>
      <c r="J7" s="60">
        <v>45338.889618055553</v>
      </c>
      <c r="K7" t="s">
        <v>361</v>
      </c>
      <c r="L7" t="s">
        <v>401</v>
      </c>
      <c r="M7" t="s">
        <v>387</v>
      </c>
      <c r="N7" t="s">
        <v>402</v>
      </c>
      <c r="O7">
        <v>30</v>
      </c>
      <c r="Q7">
        <v>131</v>
      </c>
      <c r="R7">
        <v>135</v>
      </c>
      <c r="S7">
        <v>2</v>
      </c>
      <c r="T7" t="s">
        <v>389</v>
      </c>
      <c r="U7">
        <v>2</v>
      </c>
      <c r="V7">
        <v>1</v>
      </c>
      <c r="W7">
        <v>4</v>
      </c>
    </row>
    <row r="8" spans="1:26" x14ac:dyDescent="0.3">
      <c r="A8">
        <v>6</v>
      </c>
      <c r="B8" t="s">
        <v>403</v>
      </c>
      <c r="C8" t="s">
        <v>404</v>
      </c>
      <c r="D8">
        <v>2021</v>
      </c>
      <c r="E8" t="s">
        <v>843</v>
      </c>
      <c r="H8" t="s">
        <v>406</v>
      </c>
      <c r="I8">
        <v>31</v>
      </c>
      <c r="J8" s="60">
        <v>45338.889618055553</v>
      </c>
      <c r="K8" t="s">
        <v>361</v>
      </c>
      <c r="L8" t="s">
        <v>407</v>
      </c>
      <c r="M8" t="s">
        <v>408</v>
      </c>
      <c r="N8" t="s">
        <v>409</v>
      </c>
      <c r="O8">
        <v>10</v>
      </c>
      <c r="P8">
        <v>2</v>
      </c>
      <c r="S8">
        <v>6</v>
      </c>
      <c r="T8" t="s">
        <v>410</v>
      </c>
      <c r="U8">
        <v>6</v>
      </c>
      <c r="V8">
        <v>1</v>
      </c>
      <c r="W8">
        <v>3</v>
      </c>
    </row>
    <row r="9" spans="1:26" x14ac:dyDescent="0.3">
      <c r="A9">
        <v>1</v>
      </c>
      <c r="B9" t="s">
        <v>411</v>
      </c>
      <c r="C9" s="61" t="s">
        <v>412</v>
      </c>
      <c r="D9">
        <v>2018</v>
      </c>
      <c r="E9" s="61" t="s">
        <v>413</v>
      </c>
      <c r="H9" t="s">
        <v>414</v>
      </c>
      <c r="I9">
        <v>60</v>
      </c>
      <c r="J9" s="60">
        <v>45338.889618055553</v>
      </c>
      <c r="K9" t="s">
        <v>361</v>
      </c>
      <c r="L9" t="s">
        <v>415</v>
      </c>
      <c r="M9" t="s">
        <v>416</v>
      </c>
      <c r="N9" t="s">
        <v>417</v>
      </c>
      <c r="O9">
        <v>9</v>
      </c>
      <c r="P9">
        <v>5</v>
      </c>
      <c r="Q9">
        <v>314</v>
      </c>
      <c r="R9">
        <v>318</v>
      </c>
      <c r="S9">
        <v>1</v>
      </c>
      <c r="T9" t="s">
        <v>418</v>
      </c>
      <c r="U9">
        <v>1</v>
      </c>
      <c r="V9">
        <v>1</v>
      </c>
      <c r="W9">
        <v>6</v>
      </c>
    </row>
    <row r="10" spans="1:26" x14ac:dyDescent="0.3">
      <c r="A10">
        <v>6</v>
      </c>
      <c r="B10" t="s">
        <v>419</v>
      </c>
      <c r="C10" t="s">
        <v>420</v>
      </c>
      <c r="D10">
        <v>2021</v>
      </c>
      <c r="E10" t="s">
        <v>842</v>
      </c>
      <c r="H10" t="s">
        <v>421</v>
      </c>
      <c r="I10">
        <v>32</v>
      </c>
      <c r="J10" s="60">
        <v>45338.889618055553</v>
      </c>
      <c r="K10" t="s">
        <v>361</v>
      </c>
      <c r="L10" t="s">
        <v>422</v>
      </c>
      <c r="M10" t="s">
        <v>423</v>
      </c>
      <c r="N10" t="s">
        <v>424</v>
      </c>
      <c r="O10">
        <v>8</v>
      </c>
      <c r="S10">
        <v>6</v>
      </c>
      <c r="T10" t="s">
        <v>410</v>
      </c>
      <c r="U10">
        <v>6</v>
      </c>
      <c r="V10">
        <v>1</v>
      </c>
      <c r="W10">
        <v>3</v>
      </c>
    </row>
    <row r="11" spans="1:26" x14ac:dyDescent="0.3">
      <c r="A11">
        <v>30</v>
      </c>
      <c r="B11" t="s">
        <v>425</v>
      </c>
      <c r="C11" t="s">
        <v>426</v>
      </c>
      <c r="D11">
        <v>2019</v>
      </c>
      <c r="E11" t="s">
        <v>841</v>
      </c>
      <c r="H11" t="s">
        <v>428</v>
      </c>
      <c r="I11">
        <v>8</v>
      </c>
      <c r="J11" s="60">
        <v>45338.889618055553</v>
      </c>
      <c r="K11" t="s">
        <v>361</v>
      </c>
      <c r="L11" t="s">
        <v>429</v>
      </c>
      <c r="M11" t="s">
        <v>430</v>
      </c>
      <c r="N11" t="s">
        <v>431</v>
      </c>
      <c r="O11">
        <v>2019</v>
      </c>
      <c r="S11">
        <v>30</v>
      </c>
      <c r="T11" t="s">
        <v>432</v>
      </c>
      <c r="U11">
        <v>30</v>
      </c>
      <c r="V11">
        <v>1</v>
      </c>
      <c r="W11">
        <v>5</v>
      </c>
    </row>
    <row r="12" spans="1:26" x14ac:dyDescent="0.3">
      <c r="A12">
        <v>6</v>
      </c>
      <c r="B12" t="s">
        <v>433</v>
      </c>
      <c r="C12" t="s">
        <v>434</v>
      </c>
      <c r="D12">
        <v>2021</v>
      </c>
      <c r="E12" t="s">
        <v>840</v>
      </c>
      <c r="H12" t="s">
        <v>435</v>
      </c>
      <c r="I12">
        <v>30</v>
      </c>
      <c r="J12" s="60">
        <v>45338.889618055553</v>
      </c>
      <c r="K12" t="s">
        <v>361</v>
      </c>
      <c r="L12" t="s">
        <v>436</v>
      </c>
      <c r="M12" t="s">
        <v>437</v>
      </c>
      <c r="N12" t="s">
        <v>438</v>
      </c>
      <c r="O12">
        <v>151</v>
      </c>
      <c r="P12">
        <v>7</v>
      </c>
      <c r="Q12">
        <v>2022</v>
      </c>
      <c r="R12">
        <v>2028</v>
      </c>
      <c r="S12">
        <v>6</v>
      </c>
      <c r="T12" t="s">
        <v>410</v>
      </c>
      <c r="U12">
        <v>6</v>
      </c>
      <c r="V12">
        <v>1</v>
      </c>
      <c r="W12">
        <v>3</v>
      </c>
    </row>
    <row r="13" spans="1:26" x14ac:dyDescent="0.3">
      <c r="A13">
        <v>20</v>
      </c>
      <c r="B13" t="s">
        <v>439</v>
      </c>
      <c r="C13" t="s">
        <v>440</v>
      </c>
      <c r="D13">
        <v>2021</v>
      </c>
      <c r="E13" t="s">
        <v>441</v>
      </c>
      <c r="H13" t="s">
        <v>442</v>
      </c>
      <c r="I13">
        <v>13</v>
      </c>
      <c r="J13" s="60">
        <v>45338.889618055553</v>
      </c>
      <c r="K13" t="s">
        <v>361</v>
      </c>
      <c r="L13" t="s">
        <v>443</v>
      </c>
      <c r="M13" t="s">
        <v>444</v>
      </c>
      <c r="N13" t="s">
        <v>445</v>
      </c>
      <c r="O13">
        <v>8</v>
      </c>
      <c r="S13">
        <v>20</v>
      </c>
      <c r="T13" t="s">
        <v>446</v>
      </c>
      <c r="U13">
        <v>20</v>
      </c>
      <c r="V13">
        <v>1</v>
      </c>
      <c r="W13">
        <v>3</v>
      </c>
    </row>
    <row r="14" spans="1:26" x14ac:dyDescent="0.3">
      <c r="A14">
        <v>73</v>
      </c>
      <c r="B14" t="s">
        <v>447</v>
      </c>
      <c r="C14" t="s">
        <v>448</v>
      </c>
      <c r="D14">
        <v>2018</v>
      </c>
      <c r="E14" t="s">
        <v>846</v>
      </c>
      <c r="H14" t="s">
        <v>449</v>
      </c>
      <c r="I14">
        <v>2</v>
      </c>
      <c r="J14" s="60">
        <v>45338.889618055553</v>
      </c>
      <c r="K14" t="s">
        <v>361</v>
      </c>
      <c r="L14" t="s">
        <v>450</v>
      </c>
      <c r="M14" t="s">
        <v>451</v>
      </c>
      <c r="N14" t="s">
        <v>452</v>
      </c>
      <c r="O14">
        <v>84</v>
      </c>
      <c r="P14">
        <v>4</v>
      </c>
      <c r="Q14">
        <v>551</v>
      </c>
      <c r="R14">
        <v>562</v>
      </c>
      <c r="S14">
        <v>73</v>
      </c>
      <c r="T14" t="s">
        <v>453</v>
      </c>
      <c r="U14">
        <v>73</v>
      </c>
      <c r="V14">
        <v>1</v>
      </c>
      <c r="W14">
        <v>6</v>
      </c>
    </row>
    <row r="15" spans="1:26" x14ac:dyDescent="0.3">
      <c r="A15">
        <v>0</v>
      </c>
      <c r="B15" t="s">
        <v>454</v>
      </c>
      <c r="C15" t="s">
        <v>455</v>
      </c>
      <c r="D15">
        <v>2020</v>
      </c>
      <c r="E15" t="s">
        <v>456</v>
      </c>
      <c r="H15" t="s">
        <v>457</v>
      </c>
      <c r="I15">
        <v>61</v>
      </c>
      <c r="J15" s="60">
        <v>45338.889618055553</v>
      </c>
      <c r="K15" t="s">
        <v>458</v>
      </c>
      <c r="N15" t="s">
        <v>459</v>
      </c>
      <c r="O15">
        <v>1</v>
      </c>
      <c r="Q15">
        <v>2507</v>
      </c>
      <c r="R15">
        <v>2530</v>
      </c>
      <c r="S15">
        <v>0</v>
      </c>
      <c r="T15" t="s">
        <v>380</v>
      </c>
      <c r="U15">
        <v>0</v>
      </c>
      <c r="V15">
        <v>1</v>
      </c>
      <c r="W15">
        <v>4</v>
      </c>
    </row>
    <row r="16" spans="1:26" x14ac:dyDescent="0.3">
      <c r="A16">
        <v>4</v>
      </c>
      <c r="B16" t="s">
        <v>460</v>
      </c>
      <c r="C16" t="s">
        <v>461</v>
      </c>
      <c r="D16">
        <v>2020</v>
      </c>
      <c r="E16" t="s">
        <v>846</v>
      </c>
      <c r="H16" t="s">
        <v>462</v>
      </c>
      <c r="I16">
        <v>39</v>
      </c>
      <c r="J16" s="60">
        <v>45338.889618055553</v>
      </c>
      <c r="K16" t="s">
        <v>361</v>
      </c>
      <c r="L16" t="s">
        <v>463</v>
      </c>
      <c r="M16" t="s">
        <v>451</v>
      </c>
      <c r="N16" t="s">
        <v>464</v>
      </c>
      <c r="O16">
        <v>86</v>
      </c>
      <c r="P16">
        <v>1</v>
      </c>
      <c r="S16">
        <v>4</v>
      </c>
      <c r="T16" t="s">
        <v>332</v>
      </c>
      <c r="U16">
        <v>4</v>
      </c>
      <c r="V16">
        <v>1</v>
      </c>
      <c r="W16">
        <v>4</v>
      </c>
    </row>
    <row r="17" spans="1:23" x14ac:dyDescent="0.3">
      <c r="A17">
        <v>39</v>
      </c>
      <c r="B17" t="s">
        <v>465</v>
      </c>
      <c r="C17" t="s">
        <v>466</v>
      </c>
      <c r="D17">
        <v>2018</v>
      </c>
      <c r="E17" t="s">
        <v>848</v>
      </c>
      <c r="H17" t="s">
        <v>467</v>
      </c>
      <c r="I17">
        <v>4</v>
      </c>
      <c r="J17" s="60">
        <v>45338.889618055553</v>
      </c>
      <c r="K17" t="s">
        <v>361</v>
      </c>
      <c r="L17" t="s">
        <v>468</v>
      </c>
      <c r="M17" t="s">
        <v>469</v>
      </c>
      <c r="N17" t="s">
        <v>470</v>
      </c>
      <c r="O17">
        <v>13</v>
      </c>
      <c r="P17">
        <v>4</v>
      </c>
      <c r="S17">
        <v>39</v>
      </c>
      <c r="T17" t="s">
        <v>471</v>
      </c>
      <c r="U17">
        <v>39</v>
      </c>
      <c r="V17">
        <v>1</v>
      </c>
      <c r="W17">
        <v>6</v>
      </c>
    </row>
    <row r="18" spans="1:23" x14ac:dyDescent="0.3">
      <c r="A18">
        <v>0</v>
      </c>
      <c r="B18" t="s">
        <v>472</v>
      </c>
      <c r="C18" t="s">
        <v>473</v>
      </c>
      <c r="D18">
        <v>2022</v>
      </c>
      <c r="E18" t="s">
        <v>849</v>
      </c>
      <c r="H18" t="s">
        <v>474</v>
      </c>
      <c r="I18">
        <v>71</v>
      </c>
      <c r="J18" s="60">
        <v>45338.889618055553</v>
      </c>
      <c r="K18" t="s">
        <v>361</v>
      </c>
      <c r="L18" t="s">
        <v>475</v>
      </c>
      <c r="M18" t="s">
        <v>476</v>
      </c>
      <c r="N18" t="s">
        <v>477</v>
      </c>
      <c r="O18">
        <v>43</v>
      </c>
      <c r="S18">
        <v>0</v>
      </c>
      <c r="T18" t="s">
        <v>380</v>
      </c>
      <c r="U18">
        <v>0</v>
      </c>
      <c r="V18">
        <v>1</v>
      </c>
      <c r="W18">
        <v>2</v>
      </c>
    </row>
    <row r="19" spans="1:23" x14ac:dyDescent="0.3">
      <c r="A19">
        <v>0</v>
      </c>
      <c r="B19" t="s">
        <v>478</v>
      </c>
      <c r="C19" t="s">
        <v>479</v>
      </c>
      <c r="D19">
        <v>2020</v>
      </c>
      <c r="E19" t="s">
        <v>850</v>
      </c>
      <c r="H19" t="s">
        <v>480</v>
      </c>
      <c r="I19">
        <v>74</v>
      </c>
      <c r="J19" s="60">
        <v>45338.889618055553</v>
      </c>
      <c r="K19" t="s">
        <v>481</v>
      </c>
      <c r="M19" t="s">
        <v>482</v>
      </c>
      <c r="N19" t="s">
        <v>483</v>
      </c>
      <c r="O19">
        <v>16</v>
      </c>
      <c r="Q19">
        <v>31</v>
      </c>
      <c r="R19">
        <v>32</v>
      </c>
      <c r="S19">
        <v>0</v>
      </c>
      <c r="T19" t="s">
        <v>380</v>
      </c>
      <c r="U19">
        <v>0</v>
      </c>
      <c r="V19">
        <v>1</v>
      </c>
      <c r="W19">
        <v>4</v>
      </c>
    </row>
    <row r="20" spans="1:23" x14ac:dyDescent="0.3">
      <c r="A20">
        <v>0</v>
      </c>
      <c r="B20" t="s">
        <v>484</v>
      </c>
      <c r="C20" t="s">
        <v>485</v>
      </c>
      <c r="D20">
        <v>2023</v>
      </c>
      <c r="E20" t="s">
        <v>851</v>
      </c>
      <c r="H20" t="s">
        <v>486</v>
      </c>
      <c r="I20">
        <v>69</v>
      </c>
      <c r="J20" s="60">
        <v>45338.889618055553</v>
      </c>
      <c r="K20" t="s">
        <v>361</v>
      </c>
      <c r="L20" t="s">
        <v>487</v>
      </c>
      <c r="M20" t="s">
        <v>488</v>
      </c>
      <c r="N20" t="s">
        <v>489</v>
      </c>
      <c r="O20">
        <v>32</v>
      </c>
      <c r="P20">
        <v>2</v>
      </c>
      <c r="Q20">
        <v>184</v>
      </c>
      <c r="R20">
        <v>195</v>
      </c>
      <c r="S20">
        <v>0</v>
      </c>
      <c r="T20" t="s">
        <v>380</v>
      </c>
      <c r="U20">
        <v>0</v>
      </c>
      <c r="V20">
        <v>1</v>
      </c>
      <c r="W20">
        <v>1</v>
      </c>
    </row>
    <row r="21" spans="1:23" x14ac:dyDescent="0.3">
      <c r="A21">
        <v>2</v>
      </c>
      <c r="B21" t="s">
        <v>490</v>
      </c>
      <c r="C21" t="s">
        <v>491</v>
      </c>
      <c r="D21">
        <v>2022</v>
      </c>
      <c r="E21" t="s">
        <v>852</v>
      </c>
      <c r="H21" t="s">
        <v>492</v>
      </c>
      <c r="I21">
        <v>48</v>
      </c>
      <c r="J21" s="60">
        <v>45338.889618055553</v>
      </c>
      <c r="K21" t="s">
        <v>493</v>
      </c>
      <c r="L21" t="s">
        <v>494</v>
      </c>
      <c r="M21" t="s">
        <v>495</v>
      </c>
      <c r="N21" t="s">
        <v>496</v>
      </c>
      <c r="O21">
        <v>58</v>
      </c>
      <c r="P21">
        <v>9</v>
      </c>
      <c r="S21">
        <v>2</v>
      </c>
      <c r="T21" t="s">
        <v>332</v>
      </c>
      <c r="U21">
        <v>2</v>
      </c>
      <c r="V21">
        <v>1</v>
      </c>
      <c r="W21">
        <v>2</v>
      </c>
    </row>
    <row r="22" spans="1:23" x14ac:dyDescent="0.3">
      <c r="A22">
        <v>1</v>
      </c>
      <c r="B22" t="s">
        <v>497</v>
      </c>
      <c r="C22" t="s">
        <v>498</v>
      </c>
      <c r="D22">
        <v>2023</v>
      </c>
      <c r="E22" t="s">
        <v>855</v>
      </c>
      <c r="H22" t="s">
        <v>499</v>
      </c>
      <c r="I22">
        <v>55</v>
      </c>
      <c r="J22" s="60">
        <v>45338.889618055553</v>
      </c>
      <c r="K22" t="s">
        <v>361</v>
      </c>
      <c r="L22" t="s">
        <v>500</v>
      </c>
      <c r="M22" t="s">
        <v>501</v>
      </c>
      <c r="N22" t="s">
        <v>502</v>
      </c>
      <c r="O22">
        <v>19</v>
      </c>
      <c r="P22">
        <v>1</v>
      </c>
      <c r="S22">
        <v>1</v>
      </c>
      <c r="T22" t="s">
        <v>332</v>
      </c>
      <c r="U22">
        <v>1</v>
      </c>
      <c r="V22">
        <v>1</v>
      </c>
      <c r="W22">
        <v>1</v>
      </c>
    </row>
    <row r="23" spans="1:23" x14ac:dyDescent="0.3">
      <c r="A23">
        <v>3</v>
      </c>
      <c r="B23" t="s">
        <v>503</v>
      </c>
      <c r="C23" s="61" t="s">
        <v>504</v>
      </c>
      <c r="D23">
        <v>2020</v>
      </c>
      <c r="E23" s="61" t="s">
        <v>505</v>
      </c>
      <c r="H23" t="s">
        <v>506</v>
      </c>
      <c r="I23">
        <v>40</v>
      </c>
      <c r="J23" s="60">
        <v>45338.889618055553</v>
      </c>
      <c r="K23" t="s">
        <v>361</v>
      </c>
      <c r="L23" t="s">
        <v>507</v>
      </c>
      <c r="M23" t="s">
        <v>508</v>
      </c>
      <c r="N23" t="s">
        <v>509</v>
      </c>
      <c r="O23">
        <v>8</v>
      </c>
      <c r="P23">
        <v>2</v>
      </c>
      <c r="Q23">
        <v>174</v>
      </c>
      <c r="R23">
        <v>182</v>
      </c>
      <c r="S23">
        <v>3</v>
      </c>
      <c r="T23" t="s">
        <v>510</v>
      </c>
      <c r="U23">
        <v>3</v>
      </c>
      <c r="V23">
        <v>1</v>
      </c>
      <c r="W23">
        <v>4</v>
      </c>
    </row>
    <row r="24" spans="1:23" x14ac:dyDescent="0.3">
      <c r="A24">
        <v>12</v>
      </c>
      <c r="B24" t="s">
        <v>511</v>
      </c>
      <c r="C24" t="s">
        <v>512</v>
      </c>
      <c r="D24">
        <v>2020</v>
      </c>
      <c r="E24" t="s">
        <v>847</v>
      </c>
      <c r="H24" t="s">
        <v>513</v>
      </c>
      <c r="I24">
        <v>19</v>
      </c>
      <c r="J24" s="60">
        <v>45338.889618055553</v>
      </c>
      <c r="K24" t="s">
        <v>361</v>
      </c>
      <c r="L24" t="s">
        <v>514</v>
      </c>
      <c r="M24" t="s">
        <v>363</v>
      </c>
      <c r="N24" t="s">
        <v>515</v>
      </c>
      <c r="O24">
        <v>20</v>
      </c>
      <c r="P24">
        <v>1</v>
      </c>
      <c r="S24">
        <v>12</v>
      </c>
      <c r="T24" t="s">
        <v>516</v>
      </c>
      <c r="U24">
        <v>12</v>
      </c>
      <c r="V24">
        <v>1</v>
      </c>
      <c r="W24">
        <v>4</v>
      </c>
    </row>
    <row r="25" spans="1:23" x14ac:dyDescent="0.3">
      <c r="A25">
        <v>12</v>
      </c>
      <c r="B25" t="s">
        <v>517</v>
      </c>
      <c r="C25" t="s">
        <v>518</v>
      </c>
      <c r="D25">
        <v>2021</v>
      </c>
      <c r="E25" t="s">
        <v>853</v>
      </c>
      <c r="H25" t="s">
        <v>519</v>
      </c>
      <c r="I25">
        <v>18</v>
      </c>
      <c r="J25" s="60">
        <v>45338.889618055553</v>
      </c>
      <c r="K25" t="s">
        <v>361</v>
      </c>
      <c r="L25" t="s">
        <v>520</v>
      </c>
      <c r="M25" t="s">
        <v>521</v>
      </c>
      <c r="N25" t="s">
        <v>522</v>
      </c>
      <c r="O25">
        <v>11</v>
      </c>
      <c r="P25">
        <v>12</v>
      </c>
      <c r="S25">
        <v>12</v>
      </c>
      <c r="T25" t="s">
        <v>523</v>
      </c>
      <c r="U25">
        <v>12</v>
      </c>
      <c r="V25">
        <v>1</v>
      </c>
      <c r="W25">
        <v>3</v>
      </c>
    </row>
    <row r="26" spans="1:23" x14ac:dyDescent="0.3">
      <c r="A26">
        <v>11</v>
      </c>
      <c r="B26" t="s">
        <v>524</v>
      </c>
      <c r="C26" t="s">
        <v>525</v>
      </c>
      <c r="D26">
        <v>2021</v>
      </c>
      <c r="E26" t="s">
        <v>854</v>
      </c>
      <c r="H26" t="s">
        <v>526</v>
      </c>
      <c r="I26">
        <v>20</v>
      </c>
      <c r="J26" s="60">
        <v>45338.889618055553</v>
      </c>
      <c r="K26" t="s">
        <v>361</v>
      </c>
      <c r="L26" t="s">
        <v>527</v>
      </c>
      <c r="M26" t="s">
        <v>528</v>
      </c>
      <c r="N26" t="s">
        <v>529</v>
      </c>
      <c r="O26">
        <v>18</v>
      </c>
      <c r="P26">
        <v>8</v>
      </c>
      <c r="S26">
        <v>11</v>
      </c>
      <c r="T26" t="s">
        <v>530</v>
      </c>
      <c r="U26">
        <v>11</v>
      </c>
      <c r="V26">
        <v>1</v>
      </c>
      <c r="W26">
        <v>3</v>
      </c>
    </row>
    <row r="27" spans="1:23" x14ac:dyDescent="0.3">
      <c r="A27">
        <v>2</v>
      </c>
      <c r="B27" t="s">
        <v>531</v>
      </c>
      <c r="C27" t="s">
        <v>532</v>
      </c>
      <c r="D27">
        <v>2022</v>
      </c>
      <c r="E27" t="s">
        <v>847</v>
      </c>
      <c r="H27" t="s">
        <v>533</v>
      </c>
      <c r="I27">
        <v>47</v>
      </c>
      <c r="J27" s="60">
        <v>45338.889618055553</v>
      </c>
      <c r="K27" t="s">
        <v>361</v>
      </c>
      <c r="L27" t="s">
        <v>534</v>
      </c>
      <c r="M27" t="s">
        <v>363</v>
      </c>
      <c r="N27" t="s">
        <v>535</v>
      </c>
      <c r="O27">
        <v>22</v>
      </c>
      <c r="P27">
        <v>1</v>
      </c>
      <c r="S27">
        <v>2</v>
      </c>
      <c r="T27" t="s">
        <v>332</v>
      </c>
      <c r="U27">
        <v>2</v>
      </c>
      <c r="V27">
        <v>1</v>
      </c>
      <c r="W27">
        <v>2</v>
      </c>
    </row>
    <row r="28" spans="1:23" x14ac:dyDescent="0.3">
      <c r="A28">
        <v>38</v>
      </c>
      <c r="B28" t="s">
        <v>536</v>
      </c>
      <c r="C28" t="s">
        <v>537</v>
      </c>
      <c r="D28">
        <v>2018</v>
      </c>
      <c r="E28" t="s">
        <v>855</v>
      </c>
      <c r="H28" t="s">
        <v>538</v>
      </c>
      <c r="I28">
        <v>5</v>
      </c>
      <c r="J28" s="60">
        <v>45338.889618055553</v>
      </c>
      <c r="K28" t="s">
        <v>361</v>
      </c>
      <c r="L28" t="s">
        <v>539</v>
      </c>
      <c r="M28" t="s">
        <v>501</v>
      </c>
      <c r="N28" t="s">
        <v>540</v>
      </c>
      <c r="O28">
        <v>14</v>
      </c>
      <c r="P28">
        <v>1</v>
      </c>
      <c r="S28">
        <v>38</v>
      </c>
      <c r="T28" t="s">
        <v>541</v>
      </c>
      <c r="U28">
        <v>38</v>
      </c>
      <c r="V28">
        <v>1</v>
      </c>
      <c r="W28">
        <v>6</v>
      </c>
    </row>
    <row r="29" spans="1:23" x14ac:dyDescent="0.3">
      <c r="A29">
        <v>35</v>
      </c>
      <c r="B29" t="s">
        <v>542</v>
      </c>
      <c r="C29" t="s">
        <v>543</v>
      </c>
      <c r="D29">
        <v>2019</v>
      </c>
      <c r="E29" t="s">
        <v>848</v>
      </c>
      <c r="H29" t="s">
        <v>544</v>
      </c>
      <c r="I29">
        <v>6</v>
      </c>
      <c r="J29" s="60">
        <v>45338.889618055553</v>
      </c>
      <c r="K29" t="s">
        <v>361</v>
      </c>
      <c r="L29" t="s">
        <v>545</v>
      </c>
      <c r="M29" t="s">
        <v>469</v>
      </c>
      <c r="N29" t="s">
        <v>546</v>
      </c>
      <c r="O29">
        <v>14</v>
      </c>
      <c r="P29">
        <v>6</v>
      </c>
      <c r="S29">
        <v>35</v>
      </c>
      <c r="T29" t="s">
        <v>547</v>
      </c>
      <c r="U29">
        <v>35</v>
      </c>
      <c r="V29">
        <v>1</v>
      </c>
      <c r="W29">
        <v>5</v>
      </c>
    </row>
    <row r="30" spans="1:23" x14ac:dyDescent="0.3">
      <c r="A30">
        <v>0</v>
      </c>
      <c r="B30" t="s">
        <v>548</v>
      </c>
      <c r="C30" t="s">
        <v>549</v>
      </c>
      <c r="D30">
        <v>2023</v>
      </c>
      <c r="E30" t="s">
        <v>846</v>
      </c>
      <c r="H30" t="s">
        <v>550</v>
      </c>
      <c r="I30">
        <v>66</v>
      </c>
      <c r="J30" s="60">
        <v>45338.889618055553</v>
      </c>
      <c r="K30" t="s">
        <v>361</v>
      </c>
      <c r="L30" t="s">
        <v>551</v>
      </c>
      <c r="M30" t="s">
        <v>451</v>
      </c>
      <c r="N30" t="s">
        <v>552</v>
      </c>
      <c r="O30">
        <v>89</v>
      </c>
      <c r="P30">
        <v>1</v>
      </c>
      <c r="S30">
        <v>0</v>
      </c>
      <c r="T30" t="s">
        <v>380</v>
      </c>
      <c r="U30">
        <v>0</v>
      </c>
      <c r="V30">
        <v>1</v>
      </c>
      <c r="W30">
        <v>1</v>
      </c>
    </row>
    <row r="31" spans="1:23" x14ac:dyDescent="0.3">
      <c r="A31">
        <v>8</v>
      </c>
      <c r="B31" t="s">
        <v>553</v>
      </c>
      <c r="C31" t="s">
        <v>554</v>
      </c>
      <c r="D31">
        <v>2019</v>
      </c>
      <c r="E31" t="s">
        <v>856</v>
      </c>
      <c r="H31" t="s">
        <v>555</v>
      </c>
      <c r="I31">
        <v>26</v>
      </c>
      <c r="J31" s="60">
        <v>45338.889618055553</v>
      </c>
      <c r="K31" t="s">
        <v>361</v>
      </c>
      <c r="L31" t="s">
        <v>556</v>
      </c>
      <c r="M31" t="s">
        <v>501</v>
      </c>
      <c r="N31" t="s">
        <v>557</v>
      </c>
      <c r="O31">
        <v>15</v>
      </c>
      <c r="P31">
        <v>1</v>
      </c>
      <c r="S31">
        <v>8</v>
      </c>
      <c r="T31" t="s">
        <v>558</v>
      </c>
      <c r="U31">
        <v>8</v>
      </c>
      <c r="V31">
        <v>1</v>
      </c>
      <c r="W31">
        <v>5</v>
      </c>
    </row>
    <row r="32" spans="1:23" x14ac:dyDescent="0.3">
      <c r="A32">
        <v>1</v>
      </c>
      <c r="B32" t="s">
        <v>559</v>
      </c>
      <c r="C32" t="s">
        <v>560</v>
      </c>
      <c r="D32">
        <v>2023</v>
      </c>
      <c r="E32" t="s">
        <v>857</v>
      </c>
      <c r="H32" t="s">
        <v>561</v>
      </c>
      <c r="I32">
        <v>54</v>
      </c>
      <c r="J32" s="60">
        <v>45338.889618055553</v>
      </c>
      <c r="K32" t="s">
        <v>361</v>
      </c>
      <c r="L32" t="s">
        <v>562</v>
      </c>
      <c r="M32" t="s">
        <v>563</v>
      </c>
      <c r="N32" t="s">
        <v>564</v>
      </c>
      <c r="O32">
        <v>6</v>
      </c>
      <c r="P32">
        <v>10</v>
      </c>
      <c r="S32">
        <v>1</v>
      </c>
      <c r="T32" t="s">
        <v>332</v>
      </c>
      <c r="U32">
        <v>1</v>
      </c>
      <c r="V32">
        <v>1</v>
      </c>
      <c r="W32">
        <v>1</v>
      </c>
    </row>
    <row r="33" spans="1:23" x14ac:dyDescent="0.3">
      <c r="A33">
        <v>0</v>
      </c>
      <c r="B33" t="s">
        <v>565</v>
      </c>
      <c r="C33" t="s">
        <v>566</v>
      </c>
      <c r="D33">
        <v>2023</v>
      </c>
      <c r="E33" t="s">
        <v>858</v>
      </c>
      <c r="H33" t="s">
        <v>567</v>
      </c>
      <c r="I33">
        <v>68</v>
      </c>
      <c r="J33" s="60">
        <v>45338.889618055553</v>
      </c>
      <c r="K33" t="s">
        <v>361</v>
      </c>
      <c r="L33" t="s">
        <v>568</v>
      </c>
      <c r="M33" t="s">
        <v>569</v>
      </c>
      <c r="N33" t="s">
        <v>570</v>
      </c>
      <c r="O33">
        <v>16</v>
      </c>
      <c r="S33">
        <v>0</v>
      </c>
      <c r="T33" t="s">
        <v>380</v>
      </c>
      <c r="U33">
        <v>0</v>
      </c>
      <c r="V33">
        <v>1</v>
      </c>
      <c r="W33">
        <v>1</v>
      </c>
    </row>
    <row r="34" spans="1:23" x14ac:dyDescent="0.3">
      <c r="A34">
        <v>3</v>
      </c>
      <c r="B34" t="s">
        <v>571</v>
      </c>
      <c r="C34" t="s">
        <v>572</v>
      </c>
      <c r="D34">
        <v>2021</v>
      </c>
      <c r="E34" t="s">
        <v>846</v>
      </c>
      <c r="H34" t="s">
        <v>573</v>
      </c>
      <c r="I34">
        <v>43</v>
      </c>
      <c r="J34" s="60">
        <v>45338.889618055553</v>
      </c>
      <c r="K34" t="s">
        <v>361</v>
      </c>
      <c r="L34" t="s">
        <v>574</v>
      </c>
      <c r="M34" t="s">
        <v>451</v>
      </c>
      <c r="N34" t="s">
        <v>575</v>
      </c>
      <c r="O34">
        <v>87</v>
      </c>
      <c r="P34">
        <v>1</v>
      </c>
      <c r="S34">
        <v>3</v>
      </c>
      <c r="T34" t="s">
        <v>332</v>
      </c>
      <c r="U34">
        <v>3</v>
      </c>
      <c r="V34">
        <v>1</v>
      </c>
      <c r="W34">
        <v>3</v>
      </c>
    </row>
    <row r="35" spans="1:23" x14ac:dyDescent="0.3">
      <c r="A35">
        <v>4</v>
      </c>
      <c r="B35" t="s">
        <v>576</v>
      </c>
      <c r="C35" t="s">
        <v>577</v>
      </c>
      <c r="D35">
        <v>2021</v>
      </c>
      <c r="E35" t="s">
        <v>848</v>
      </c>
      <c r="H35" t="s">
        <v>578</v>
      </c>
      <c r="I35">
        <v>36</v>
      </c>
      <c r="J35" s="60">
        <v>45338.889618055553</v>
      </c>
      <c r="K35" t="s">
        <v>361</v>
      </c>
      <c r="L35" t="s">
        <v>579</v>
      </c>
      <c r="M35" t="s">
        <v>469</v>
      </c>
      <c r="N35" t="s">
        <v>580</v>
      </c>
      <c r="O35">
        <v>16</v>
      </c>
      <c r="P35">
        <v>8</v>
      </c>
      <c r="S35">
        <v>4</v>
      </c>
      <c r="T35" t="s">
        <v>581</v>
      </c>
      <c r="U35">
        <v>4</v>
      </c>
      <c r="V35">
        <v>1</v>
      </c>
      <c r="W35">
        <v>3</v>
      </c>
    </row>
    <row r="36" spans="1:23" x14ac:dyDescent="0.3">
      <c r="A36">
        <v>5</v>
      </c>
      <c r="B36" t="s">
        <v>582</v>
      </c>
      <c r="C36" t="s">
        <v>583</v>
      </c>
      <c r="D36">
        <v>2023</v>
      </c>
      <c r="E36" t="s">
        <v>854</v>
      </c>
      <c r="H36" t="s">
        <v>584</v>
      </c>
      <c r="I36">
        <v>33</v>
      </c>
      <c r="J36" s="60">
        <v>45338.889618055553</v>
      </c>
      <c r="K36" t="s">
        <v>361</v>
      </c>
      <c r="L36" t="s">
        <v>585</v>
      </c>
      <c r="M36" t="s">
        <v>528</v>
      </c>
      <c r="N36" t="s">
        <v>586</v>
      </c>
      <c r="O36">
        <v>20</v>
      </c>
      <c r="P36">
        <v>2</v>
      </c>
      <c r="S36">
        <v>5</v>
      </c>
      <c r="T36" t="s">
        <v>587</v>
      </c>
      <c r="U36">
        <v>5</v>
      </c>
      <c r="V36">
        <v>1</v>
      </c>
      <c r="W36">
        <v>1</v>
      </c>
    </row>
    <row r="37" spans="1:23" x14ac:dyDescent="0.3">
      <c r="A37">
        <v>26</v>
      </c>
      <c r="B37" t="s">
        <v>588</v>
      </c>
      <c r="C37" t="s">
        <v>589</v>
      </c>
      <c r="D37">
        <v>2019</v>
      </c>
      <c r="E37" t="s">
        <v>859</v>
      </c>
      <c r="H37" t="s">
        <v>590</v>
      </c>
      <c r="I37">
        <v>11</v>
      </c>
      <c r="J37" s="60">
        <v>45338.889618055553</v>
      </c>
      <c r="K37" t="s">
        <v>361</v>
      </c>
      <c r="L37" t="s">
        <v>591</v>
      </c>
      <c r="M37" t="s">
        <v>592</v>
      </c>
      <c r="N37" t="s">
        <v>593</v>
      </c>
      <c r="O37">
        <v>4</v>
      </c>
      <c r="P37">
        <v>1</v>
      </c>
      <c r="S37">
        <v>26</v>
      </c>
      <c r="T37" t="s">
        <v>594</v>
      </c>
      <c r="U37">
        <v>26</v>
      </c>
      <c r="V37">
        <v>1</v>
      </c>
      <c r="W37">
        <v>5</v>
      </c>
    </row>
    <row r="38" spans="1:23" x14ac:dyDescent="0.3">
      <c r="A38">
        <v>41</v>
      </c>
      <c r="B38" t="s">
        <v>595</v>
      </c>
      <c r="C38" t="s">
        <v>596</v>
      </c>
      <c r="D38">
        <v>2018</v>
      </c>
      <c r="E38" t="s">
        <v>847</v>
      </c>
      <c r="H38" t="s">
        <v>597</v>
      </c>
      <c r="I38">
        <v>3</v>
      </c>
      <c r="J38" s="60">
        <v>45338.889618055553</v>
      </c>
      <c r="K38" t="s">
        <v>361</v>
      </c>
      <c r="L38" t="s">
        <v>598</v>
      </c>
      <c r="M38" t="s">
        <v>363</v>
      </c>
      <c r="N38" t="s">
        <v>599</v>
      </c>
      <c r="O38">
        <v>18</v>
      </c>
      <c r="P38">
        <v>1</v>
      </c>
      <c r="S38">
        <v>41</v>
      </c>
      <c r="T38" t="s">
        <v>600</v>
      </c>
      <c r="U38">
        <v>41</v>
      </c>
      <c r="V38">
        <v>1</v>
      </c>
      <c r="W38">
        <v>6</v>
      </c>
    </row>
    <row r="39" spans="1:23" x14ac:dyDescent="0.3">
      <c r="A39">
        <v>2</v>
      </c>
      <c r="B39" t="s">
        <v>601</v>
      </c>
      <c r="C39" t="s">
        <v>602</v>
      </c>
      <c r="D39">
        <v>2021</v>
      </c>
      <c r="E39" t="s">
        <v>378</v>
      </c>
      <c r="H39" t="s">
        <v>603</v>
      </c>
      <c r="I39">
        <v>46</v>
      </c>
      <c r="J39" s="60">
        <v>45338.889618055553</v>
      </c>
      <c r="K39" t="s">
        <v>361</v>
      </c>
      <c r="L39" t="s">
        <v>604</v>
      </c>
      <c r="M39" t="s">
        <v>379</v>
      </c>
      <c r="N39" t="s">
        <v>605</v>
      </c>
      <c r="O39">
        <v>13</v>
      </c>
      <c r="P39">
        <v>1</v>
      </c>
      <c r="Q39">
        <v>48</v>
      </c>
      <c r="R39">
        <v>56</v>
      </c>
      <c r="S39">
        <v>2</v>
      </c>
      <c r="T39" t="s">
        <v>606</v>
      </c>
      <c r="U39">
        <v>2</v>
      </c>
      <c r="V39">
        <v>1</v>
      </c>
      <c r="W39">
        <v>3</v>
      </c>
    </row>
    <row r="40" spans="1:23" x14ac:dyDescent="0.3">
      <c r="A40">
        <v>3</v>
      </c>
      <c r="B40" t="s">
        <v>607</v>
      </c>
      <c r="C40" t="s">
        <v>608</v>
      </c>
      <c r="D40">
        <v>2021</v>
      </c>
      <c r="E40" t="s">
        <v>860</v>
      </c>
      <c r="H40" t="s">
        <v>609</v>
      </c>
      <c r="I40">
        <v>45</v>
      </c>
      <c r="J40" s="60">
        <v>45338.889618055553</v>
      </c>
      <c r="K40" t="s">
        <v>361</v>
      </c>
      <c r="L40" t="s">
        <v>610</v>
      </c>
      <c r="M40" t="s">
        <v>611</v>
      </c>
      <c r="N40" t="s">
        <v>612</v>
      </c>
      <c r="O40">
        <v>27</v>
      </c>
      <c r="P40">
        <v>1</v>
      </c>
      <c r="Q40">
        <v>123</v>
      </c>
      <c r="R40">
        <v>140</v>
      </c>
      <c r="S40">
        <v>3</v>
      </c>
      <c r="T40" t="s">
        <v>332</v>
      </c>
      <c r="U40">
        <v>3</v>
      </c>
      <c r="V40">
        <v>1</v>
      </c>
      <c r="W40">
        <v>3</v>
      </c>
    </row>
    <row r="41" spans="1:23" x14ac:dyDescent="0.3">
      <c r="A41">
        <v>0</v>
      </c>
      <c r="B41" t="s">
        <v>613</v>
      </c>
      <c r="C41" s="61" t="s">
        <v>614</v>
      </c>
      <c r="D41">
        <v>2023</v>
      </c>
      <c r="E41" s="61" t="s">
        <v>615</v>
      </c>
      <c r="H41" t="s">
        <v>616</v>
      </c>
      <c r="I41">
        <v>67</v>
      </c>
      <c r="J41" s="60">
        <v>45338.889618055553</v>
      </c>
      <c r="K41" t="s">
        <v>361</v>
      </c>
      <c r="L41" t="s">
        <v>617</v>
      </c>
      <c r="M41" t="s">
        <v>618</v>
      </c>
      <c r="N41" t="s">
        <v>619</v>
      </c>
      <c r="O41">
        <v>3</v>
      </c>
      <c r="P41">
        <v>2</v>
      </c>
      <c r="S41">
        <v>0</v>
      </c>
      <c r="T41" t="s">
        <v>380</v>
      </c>
      <c r="U41">
        <v>0</v>
      </c>
      <c r="V41">
        <v>1</v>
      </c>
      <c r="W41">
        <v>1</v>
      </c>
    </row>
    <row r="42" spans="1:23" x14ac:dyDescent="0.3">
      <c r="A42">
        <v>4</v>
      </c>
      <c r="B42" t="s">
        <v>620</v>
      </c>
      <c r="C42" t="s">
        <v>621</v>
      </c>
      <c r="D42">
        <v>2021</v>
      </c>
      <c r="E42" t="s">
        <v>853</v>
      </c>
      <c r="H42" t="s">
        <v>622</v>
      </c>
      <c r="I42">
        <v>35</v>
      </c>
      <c r="J42" s="60">
        <v>45338.889618055553</v>
      </c>
      <c r="K42" t="s">
        <v>361</v>
      </c>
      <c r="L42" t="s">
        <v>623</v>
      </c>
      <c r="M42" t="s">
        <v>521</v>
      </c>
      <c r="N42" t="s">
        <v>624</v>
      </c>
      <c r="O42">
        <v>11</v>
      </c>
      <c r="P42">
        <v>12</v>
      </c>
      <c r="S42">
        <v>4</v>
      </c>
      <c r="T42" t="s">
        <v>581</v>
      </c>
      <c r="U42">
        <v>4</v>
      </c>
      <c r="V42">
        <v>1</v>
      </c>
      <c r="W42">
        <v>3</v>
      </c>
    </row>
    <row r="43" spans="1:23" x14ac:dyDescent="0.3">
      <c r="A43">
        <v>3</v>
      </c>
      <c r="B43" t="s">
        <v>620</v>
      </c>
      <c r="C43" t="s">
        <v>625</v>
      </c>
      <c r="D43">
        <v>2022</v>
      </c>
      <c r="E43" t="s">
        <v>861</v>
      </c>
      <c r="H43" t="s">
        <v>626</v>
      </c>
      <c r="I43">
        <v>41</v>
      </c>
      <c r="J43" s="60">
        <v>45338.889618055553</v>
      </c>
      <c r="K43" t="s">
        <v>361</v>
      </c>
      <c r="L43" t="s">
        <v>627</v>
      </c>
      <c r="M43" t="s">
        <v>628</v>
      </c>
      <c r="N43" t="s">
        <v>629</v>
      </c>
      <c r="O43">
        <v>8</v>
      </c>
      <c r="P43">
        <v>1</v>
      </c>
      <c r="S43">
        <v>3</v>
      </c>
      <c r="T43" t="s">
        <v>630</v>
      </c>
      <c r="U43">
        <v>3</v>
      </c>
      <c r="V43">
        <v>1</v>
      </c>
      <c r="W43">
        <v>2</v>
      </c>
    </row>
    <row r="44" spans="1:23" x14ac:dyDescent="0.3">
      <c r="A44">
        <v>1</v>
      </c>
      <c r="B44" t="s">
        <v>631</v>
      </c>
      <c r="C44" t="s">
        <v>632</v>
      </c>
      <c r="D44">
        <v>2022</v>
      </c>
      <c r="E44" t="s">
        <v>863</v>
      </c>
      <c r="H44" t="s">
        <v>633</v>
      </c>
      <c r="I44">
        <v>56</v>
      </c>
      <c r="J44" s="60">
        <v>45338.889618055553</v>
      </c>
      <c r="K44" t="s">
        <v>361</v>
      </c>
      <c r="L44" t="s">
        <v>634</v>
      </c>
      <c r="M44" t="s">
        <v>635</v>
      </c>
      <c r="N44" t="s">
        <v>636</v>
      </c>
      <c r="O44">
        <v>14</v>
      </c>
      <c r="P44">
        <v>20</v>
      </c>
      <c r="S44">
        <v>1</v>
      </c>
      <c r="T44" t="s">
        <v>389</v>
      </c>
      <c r="U44">
        <v>1</v>
      </c>
      <c r="V44">
        <v>1</v>
      </c>
      <c r="W44">
        <v>2</v>
      </c>
    </row>
    <row r="45" spans="1:23" x14ac:dyDescent="0.3">
      <c r="A45">
        <v>0</v>
      </c>
      <c r="B45" t="s">
        <v>637</v>
      </c>
      <c r="C45" t="s">
        <v>638</v>
      </c>
      <c r="D45">
        <v>2021</v>
      </c>
      <c r="E45" s="61" t="s">
        <v>862</v>
      </c>
      <c r="G45" t="s">
        <v>639</v>
      </c>
      <c r="H45" t="s">
        <v>640</v>
      </c>
      <c r="I45">
        <v>75</v>
      </c>
      <c r="J45" s="60">
        <v>45338.889618055553</v>
      </c>
      <c r="K45" t="s">
        <v>361</v>
      </c>
      <c r="L45" t="s">
        <v>641</v>
      </c>
      <c r="M45" t="s">
        <v>387</v>
      </c>
      <c r="N45" t="s">
        <v>642</v>
      </c>
      <c r="O45">
        <v>31</v>
      </c>
      <c r="S45">
        <v>0</v>
      </c>
      <c r="T45" t="s">
        <v>380</v>
      </c>
      <c r="U45">
        <v>0</v>
      </c>
      <c r="V45">
        <v>1</v>
      </c>
      <c r="W45">
        <v>3</v>
      </c>
    </row>
    <row r="46" spans="1:23" x14ac:dyDescent="0.3">
      <c r="A46">
        <v>5</v>
      </c>
      <c r="B46" t="s">
        <v>643</v>
      </c>
      <c r="C46" s="62" t="s">
        <v>644</v>
      </c>
      <c r="D46">
        <v>2022</v>
      </c>
      <c r="E46" t="s">
        <v>864</v>
      </c>
      <c r="H46" t="s">
        <v>645</v>
      </c>
      <c r="I46">
        <v>34</v>
      </c>
      <c r="J46" s="60">
        <v>45338.889618055553</v>
      </c>
      <c r="K46" t="s">
        <v>493</v>
      </c>
      <c r="L46" t="s">
        <v>646</v>
      </c>
      <c r="M46" t="s">
        <v>647</v>
      </c>
      <c r="N46" t="s">
        <v>648</v>
      </c>
      <c r="O46">
        <v>2022</v>
      </c>
      <c r="S46">
        <v>5</v>
      </c>
      <c r="T46" t="s">
        <v>649</v>
      </c>
      <c r="U46">
        <v>5</v>
      </c>
      <c r="V46">
        <v>1</v>
      </c>
      <c r="W46">
        <v>2</v>
      </c>
    </row>
    <row r="47" spans="1:23" x14ac:dyDescent="0.3">
      <c r="A47">
        <v>0</v>
      </c>
      <c r="B47" t="s">
        <v>650</v>
      </c>
      <c r="C47" t="s">
        <v>651</v>
      </c>
      <c r="D47">
        <v>2022</v>
      </c>
      <c r="E47" s="61" t="s">
        <v>652</v>
      </c>
      <c r="H47" t="s">
        <v>653</v>
      </c>
      <c r="I47">
        <v>72</v>
      </c>
      <c r="J47" s="60">
        <v>45338.889618055553</v>
      </c>
      <c r="K47" t="s">
        <v>361</v>
      </c>
      <c r="L47" t="s">
        <v>654</v>
      </c>
      <c r="M47" t="s">
        <v>655</v>
      </c>
      <c r="N47" t="s">
        <v>656</v>
      </c>
      <c r="O47">
        <v>17</v>
      </c>
      <c r="P47">
        <v>3</v>
      </c>
      <c r="Q47">
        <v>175</v>
      </c>
      <c r="R47">
        <v>183</v>
      </c>
      <c r="S47">
        <v>0</v>
      </c>
      <c r="T47" t="s">
        <v>380</v>
      </c>
      <c r="U47">
        <v>0</v>
      </c>
      <c r="V47">
        <v>1</v>
      </c>
      <c r="W47">
        <v>2</v>
      </c>
    </row>
    <row r="48" spans="1:23" x14ac:dyDescent="0.3">
      <c r="A48">
        <v>28</v>
      </c>
      <c r="B48" t="s">
        <v>657</v>
      </c>
      <c r="C48" t="s">
        <v>658</v>
      </c>
      <c r="D48">
        <v>2018</v>
      </c>
      <c r="E48" t="s">
        <v>854</v>
      </c>
      <c r="H48" t="s">
        <v>659</v>
      </c>
      <c r="I48">
        <v>9</v>
      </c>
      <c r="J48" s="60">
        <v>45338.889618055553</v>
      </c>
      <c r="K48" t="s">
        <v>361</v>
      </c>
      <c r="L48" t="s">
        <v>660</v>
      </c>
      <c r="M48" t="s">
        <v>528</v>
      </c>
      <c r="N48" t="s">
        <v>661</v>
      </c>
      <c r="O48">
        <v>15</v>
      </c>
      <c r="P48">
        <v>1</v>
      </c>
      <c r="S48">
        <v>28</v>
      </c>
      <c r="T48" t="s">
        <v>662</v>
      </c>
      <c r="U48">
        <v>28</v>
      </c>
      <c r="V48">
        <v>1</v>
      </c>
      <c r="W48">
        <v>6</v>
      </c>
    </row>
    <row r="49" spans="1:23" x14ac:dyDescent="0.3">
      <c r="A49">
        <v>0</v>
      </c>
      <c r="B49" t="s">
        <v>663</v>
      </c>
      <c r="C49" t="s">
        <v>664</v>
      </c>
      <c r="D49">
        <v>2023</v>
      </c>
      <c r="E49" t="s">
        <v>865</v>
      </c>
      <c r="H49" t="s">
        <v>665</v>
      </c>
      <c r="I49">
        <v>64</v>
      </c>
      <c r="J49" s="60">
        <v>45338.889618055553</v>
      </c>
      <c r="K49" t="s">
        <v>361</v>
      </c>
      <c r="L49" t="s">
        <v>666</v>
      </c>
      <c r="M49" t="s">
        <v>667</v>
      </c>
      <c r="N49" t="s">
        <v>668</v>
      </c>
      <c r="O49">
        <v>23</v>
      </c>
      <c r="P49">
        <v>4</v>
      </c>
      <c r="Q49">
        <v>82</v>
      </c>
      <c r="R49">
        <v>86</v>
      </c>
      <c r="S49">
        <v>0</v>
      </c>
      <c r="T49" t="s">
        <v>380</v>
      </c>
      <c r="U49">
        <v>0</v>
      </c>
      <c r="V49">
        <v>1</v>
      </c>
      <c r="W49">
        <v>1</v>
      </c>
    </row>
    <row r="50" spans="1:23" x14ac:dyDescent="0.3">
      <c r="A50">
        <v>4</v>
      </c>
      <c r="B50" t="s">
        <v>669</v>
      </c>
      <c r="C50" t="s">
        <v>670</v>
      </c>
      <c r="D50">
        <v>2021</v>
      </c>
      <c r="E50" s="61" t="s">
        <v>652</v>
      </c>
      <c r="H50" t="s">
        <v>671</v>
      </c>
      <c r="I50">
        <v>37</v>
      </c>
      <c r="J50" s="60">
        <v>45338.889618055553</v>
      </c>
      <c r="K50" t="s">
        <v>361</v>
      </c>
      <c r="L50" t="s">
        <v>672</v>
      </c>
      <c r="M50" t="s">
        <v>655</v>
      </c>
      <c r="N50" t="s">
        <v>673</v>
      </c>
      <c r="O50">
        <v>16</v>
      </c>
      <c r="P50">
        <v>1</v>
      </c>
      <c r="Q50">
        <v>28</v>
      </c>
      <c r="R50">
        <v>32</v>
      </c>
      <c r="S50">
        <v>4</v>
      </c>
      <c r="T50" t="s">
        <v>581</v>
      </c>
      <c r="U50">
        <v>4</v>
      </c>
      <c r="V50">
        <v>1</v>
      </c>
      <c r="W50">
        <v>3</v>
      </c>
    </row>
    <row r="51" spans="1:23" x14ac:dyDescent="0.3">
      <c r="A51">
        <v>0</v>
      </c>
      <c r="B51" t="s">
        <v>674</v>
      </c>
      <c r="C51" t="s">
        <v>675</v>
      </c>
      <c r="D51">
        <v>2023</v>
      </c>
      <c r="E51" s="61" t="s">
        <v>866</v>
      </c>
      <c r="H51" t="s">
        <v>676</v>
      </c>
      <c r="I51">
        <v>62</v>
      </c>
      <c r="J51" s="60">
        <v>45338.889618055553</v>
      </c>
      <c r="K51" t="s">
        <v>361</v>
      </c>
      <c r="L51" t="s">
        <v>677</v>
      </c>
      <c r="M51" t="s">
        <v>678</v>
      </c>
      <c r="N51" t="s">
        <v>679</v>
      </c>
      <c r="O51">
        <v>15</v>
      </c>
      <c r="P51">
        <v>5</v>
      </c>
      <c r="Q51">
        <v>851</v>
      </c>
      <c r="R51">
        <v>855</v>
      </c>
      <c r="S51">
        <v>0</v>
      </c>
      <c r="T51" t="s">
        <v>380</v>
      </c>
      <c r="U51">
        <v>0</v>
      </c>
      <c r="V51">
        <v>1</v>
      </c>
      <c r="W51">
        <v>1</v>
      </c>
    </row>
    <row r="52" spans="1:23" x14ac:dyDescent="0.3">
      <c r="A52">
        <v>0</v>
      </c>
      <c r="B52" t="s">
        <v>680</v>
      </c>
      <c r="C52" t="s">
        <v>681</v>
      </c>
      <c r="D52">
        <v>2019</v>
      </c>
      <c r="E52" s="61" t="s">
        <v>413</v>
      </c>
      <c r="H52" t="s">
        <v>682</v>
      </c>
      <c r="I52">
        <v>78</v>
      </c>
      <c r="J52" s="60">
        <v>45338.889618055553</v>
      </c>
      <c r="K52" t="s">
        <v>361</v>
      </c>
      <c r="L52" t="s">
        <v>683</v>
      </c>
      <c r="M52" t="s">
        <v>416</v>
      </c>
      <c r="N52" t="s">
        <v>684</v>
      </c>
      <c r="O52">
        <v>10</v>
      </c>
      <c r="P52">
        <v>3</v>
      </c>
      <c r="Q52">
        <v>831</v>
      </c>
      <c r="R52">
        <v>838</v>
      </c>
      <c r="S52">
        <v>0</v>
      </c>
      <c r="T52" t="s">
        <v>380</v>
      </c>
      <c r="U52">
        <v>0</v>
      </c>
      <c r="V52">
        <v>1</v>
      </c>
      <c r="W52">
        <v>5</v>
      </c>
    </row>
    <row r="53" spans="1:23" x14ac:dyDescent="0.3">
      <c r="A53">
        <v>0</v>
      </c>
      <c r="B53" t="s">
        <v>685</v>
      </c>
      <c r="C53" t="s">
        <v>686</v>
      </c>
      <c r="D53">
        <v>2023</v>
      </c>
      <c r="E53" s="61" t="s">
        <v>687</v>
      </c>
      <c r="H53" t="s">
        <v>688</v>
      </c>
      <c r="I53">
        <v>63</v>
      </c>
      <c r="J53" s="60">
        <v>45338.889618055553</v>
      </c>
      <c r="K53" t="s">
        <v>361</v>
      </c>
      <c r="L53" t="s">
        <v>689</v>
      </c>
      <c r="M53" t="s">
        <v>690</v>
      </c>
      <c r="N53" t="s">
        <v>691</v>
      </c>
      <c r="O53">
        <v>19</v>
      </c>
      <c r="P53">
        <v>2</v>
      </c>
      <c r="Q53">
        <v>270</v>
      </c>
      <c r="R53">
        <v>277</v>
      </c>
      <c r="S53">
        <v>0</v>
      </c>
      <c r="T53" t="s">
        <v>380</v>
      </c>
      <c r="U53">
        <v>0</v>
      </c>
      <c r="V53">
        <v>1</v>
      </c>
      <c r="W53">
        <v>1</v>
      </c>
    </row>
    <row r="54" spans="1:23" x14ac:dyDescent="0.3">
      <c r="A54">
        <v>3</v>
      </c>
      <c r="B54" t="s">
        <v>692</v>
      </c>
      <c r="C54" t="s">
        <v>693</v>
      </c>
      <c r="D54">
        <v>2022</v>
      </c>
      <c r="E54" t="s">
        <v>867</v>
      </c>
      <c r="H54" t="s">
        <v>694</v>
      </c>
      <c r="I54">
        <v>42</v>
      </c>
      <c r="J54" s="60">
        <v>45338.889618055553</v>
      </c>
      <c r="K54" t="s">
        <v>361</v>
      </c>
      <c r="L54" t="s">
        <v>695</v>
      </c>
      <c r="M54" t="s">
        <v>696</v>
      </c>
      <c r="N54" t="s">
        <v>697</v>
      </c>
      <c r="O54">
        <v>15</v>
      </c>
      <c r="P54">
        <v>3</v>
      </c>
      <c r="Q54">
        <v>1025</v>
      </c>
      <c r="R54">
        <v>1042</v>
      </c>
      <c r="S54">
        <v>3</v>
      </c>
      <c r="T54" t="s">
        <v>630</v>
      </c>
      <c r="U54">
        <v>3</v>
      </c>
      <c r="V54">
        <v>1</v>
      </c>
      <c r="W54">
        <v>2</v>
      </c>
    </row>
    <row r="55" spans="1:23" x14ac:dyDescent="0.3">
      <c r="A55">
        <v>1</v>
      </c>
      <c r="B55" t="s">
        <v>698</v>
      </c>
      <c r="C55" t="s">
        <v>699</v>
      </c>
      <c r="D55">
        <v>2022</v>
      </c>
      <c r="E55" t="s">
        <v>868</v>
      </c>
      <c r="H55" t="s">
        <v>700</v>
      </c>
      <c r="I55">
        <v>57</v>
      </c>
      <c r="J55" s="60">
        <v>45338.889618055553</v>
      </c>
      <c r="K55" t="s">
        <v>361</v>
      </c>
      <c r="L55" t="s">
        <v>701</v>
      </c>
      <c r="M55" t="s">
        <v>702</v>
      </c>
      <c r="N55" t="s">
        <v>703</v>
      </c>
      <c r="O55">
        <v>10</v>
      </c>
      <c r="Q55">
        <v>1</v>
      </c>
      <c r="R55">
        <v>5</v>
      </c>
      <c r="S55">
        <v>1</v>
      </c>
      <c r="T55" t="s">
        <v>389</v>
      </c>
      <c r="U55">
        <v>1</v>
      </c>
      <c r="V55">
        <v>1</v>
      </c>
      <c r="W55">
        <v>2</v>
      </c>
    </row>
    <row r="56" spans="1:23" x14ac:dyDescent="0.3">
      <c r="A56">
        <v>0</v>
      </c>
      <c r="B56" t="s">
        <v>704</v>
      </c>
      <c r="C56" t="s">
        <v>705</v>
      </c>
      <c r="D56">
        <v>2023</v>
      </c>
      <c r="E56" s="61" t="s">
        <v>706</v>
      </c>
      <c r="H56" t="s">
        <v>707</v>
      </c>
      <c r="I56">
        <v>70</v>
      </c>
      <c r="J56" s="60">
        <v>45338.889618055553</v>
      </c>
      <c r="K56" t="s">
        <v>481</v>
      </c>
      <c r="L56" t="s">
        <v>708</v>
      </c>
      <c r="M56" t="s">
        <v>709</v>
      </c>
      <c r="N56" t="s">
        <v>710</v>
      </c>
      <c r="O56">
        <v>2544</v>
      </c>
      <c r="S56">
        <v>0</v>
      </c>
      <c r="T56" t="s">
        <v>380</v>
      </c>
      <c r="U56">
        <v>0</v>
      </c>
      <c r="V56">
        <v>1</v>
      </c>
      <c r="W56">
        <v>1</v>
      </c>
    </row>
    <row r="57" spans="1:23" x14ac:dyDescent="0.3">
      <c r="A57">
        <v>20</v>
      </c>
      <c r="B57" t="s">
        <v>711</v>
      </c>
      <c r="C57" t="s">
        <v>712</v>
      </c>
      <c r="D57">
        <v>2019</v>
      </c>
      <c r="E57" s="61" t="s">
        <v>869</v>
      </c>
      <c r="G57" t="s">
        <v>713</v>
      </c>
      <c r="H57" t="s">
        <v>714</v>
      </c>
      <c r="I57">
        <v>14</v>
      </c>
      <c r="J57" s="60">
        <v>45338.889618055553</v>
      </c>
      <c r="K57" t="s">
        <v>361</v>
      </c>
      <c r="L57" t="s">
        <v>715</v>
      </c>
      <c r="M57" t="s">
        <v>387</v>
      </c>
      <c r="N57" t="s">
        <v>716</v>
      </c>
      <c r="O57">
        <v>29</v>
      </c>
      <c r="Q57">
        <v>606</v>
      </c>
      <c r="R57">
        <v>611</v>
      </c>
      <c r="S57">
        <v>20</v>
      </c>
      <c r="T57" t="s">
        <v>523</v>
      </c>
      <c r="U57">
        <v>20</v>
      </c>
      <c r="V57">
        <v>1</v>
      </c>
      <c r="W57">
        <v>5</v>
      </c>
    </row>
    <row r="58" spans="1:23" x14ac:dyDescent="0.3">
      <c r="A58">
        <v>4</v>
      </c>
      <c r="B58" t="s">
        <v>717</v>
      </c>
      <c r="C58" t="s">
        <v>718</v>
      </c>
      <c r="D58">
        <v>2021</v>
      </c>
      <c r="E58" t="s">
        <v>870</v>
      </c>
      <c r="H58" t="s">
        <v>719</v>
      </c>
      <c r="I58">
        <v>38</v>
      </c>
      <c r="J58" s="60">
        <v>45338.889618055553</v>
      </c>
      <c r="K58" t="s">
        <v>361</v>
      </c>
      <c r="L58" t="s">
        <v>720</v>
      </c>
      <c r="M58" t="s">
        <v>721</v>
      </c>
      <c r="N58" t="s">
        <v>722</v>
      </c>
      <c r="O58">
        <v>61</v>
      </c>
      <c r="P58">
        <v>1</v>
      </c>
      <c r="Q58">
        <v>12</v>
      </c>
      <c r="R58">
        <v>19</v>
      </c>
      <c r="S58">
        <v>4</v>
      </c>
      <c r="T58" t="s">
        <v>581</v>
      </c>
      <c r="U58">
        <v>4</v>
      </c>
      <c r="V58">
        <v>1</v>
      </c>
      <c r="W58">
        <v>3</v>
      </c>
    </row>
    <row r="59" spans="1:23" x14ac:dyDescent="0.3">
      <c r="A59">
        <v>0</v>
      </c>
      <c r="B59" t="s">
        <v>723</v>
      </c>
      <c r="C59" t="s">
        <v>724</v>
      </c>
      <c r="D59">
        <v>2021</v>
      </c>
      <c r="E59" t="s">
        <v>868</v>
      </c>
      <c r="H59" t="s">
        <v>725</v>
      </c>
      <c r="I59">
        <v>77</v>
      </c>
      <c r="J59" s="60">
        <v>45338.889618055553</v>
      </c>
      <c r="K59" t="s">
        <v>361</v>
      </c>
      <c r="L59" t="s">
        <v>726</v>
      </c>
      <c r="M59" t="s">
        <v>702</v>
      </c>
      <c r="N59" t="s">
        <v>727</v>
      </c>
      <c r="O59">
        <v>9</v>
      </c>
      <c r="Q59">
        <v>149</v>
      </c>
      <c r="R59">
        <v>157</v>
      </c>
      <c r="S59">
        <v>0</v>
      </c>
      <c r="T59" t="s">
        <v>380</v>
      </c>
      <c r="U59">
        <v>0</v>
      </c>
      <c r="V59">
        <v>1</v>
      </c>
      <c r="W59">
        <v>3</v>
      </c>
    </row>
    <row r="60" spans="1:23" x14ac:dyDescent="0.3">
      <c r="A60">
        <v>10</v>
      </c>
      <c r="B60" t="s">
        <v>728</v>
      </c>
      <c r="C60" t="s">
        <v>729</v>
      </c>
      <c r="D60">
        <v>2018</v>
      </c>
      <c r="E60" s="61" t="s">
        <v>730</v>
      </c>
      <c r="H60" t="s">
        <v>731</v>
      </c>
      <c r="I60">
        <v>22</v>
      </c>
      <c r="J60" s="60">
        <v>45338.889618055553</v>
      </c>
      <c r="K60" t="s">
        <v>481</v>
      </c>
      <c r="L60" t="s">
        <v>732</v>
      </c>
      <c r="M60" t="s">
        <v>733</v>
      </c>
      <c r="N60" t="s">
        <v>734</v>
      </c>
      <c r="O60">
        <v>125</v>
      </c>
      <c r="P60">
        <v>1</v>
      </c>
      <c r="S60">
        <v>10</v>
      </c>
      <c r="T60" t="s">
        <v>735</v>
      </c>
      <c r="U60">
        <v>10</v>
      </c>
      <c r="V60">
        <v>1</v>
      </c>
      <c r="W60">
        <v>6</v>
      </c>
    </row>
    <row r="61" spans="1:23" x14ac:dyDescent="0.3">
      <c r="A61">
        <v>19</v>
      </c>
      <c r="B61" t="s">
        <v>736</v>
      </c>
      <c r="C61" t="s">
        <v>737</v>
      </c>
      <c r="D61">
        <v>2019</v>
      </c>
      <c r="E61" t="s">
        <v>854</v>
      </c>
      <c r="H61" t="s">
        <v>738</v>
      </c>
      <c r="I61">
        <v>15</v>
      </c>
      <c r="J61" s="60">
        <v>45338.889618055553</v>
      </c>
      <c r="K61" t="s">
        <v>361</v>
      </c>
      <c r="L61" t="s">
        <v>739</v>
      </c>
      <c r="M61" t="s">
        <v>528</v>
      </c>
      <c r="N61" t="s">
        <v>740</v>
      </c>
      <c r="O61">
        <v>16</v>
      </c>
      <c r="P61">
        <v>14</v>
      </c>
      <c r="S61">
        <v>19</v>
      </c>
      <c r="T61" t="s">
        <v>741</v>
      </c>
      <c r="U61">
        <v>19</v>
      </c>
      <c r="V61">
        <v>1</v>
      </c>
      <c r="W61">
        <v>5</v>
      </c>
    </row>
    <row r="62" spans="1:23" x14ac:dyDescent="0.3">
      <c r="A62">
        <v>2</v>
      </c>
      <c r="B62" t="s">
        <v>742</v>
      </c>
      <c r="C62" t="s">
        <v>743</v>
      </c>
      <c r="D62">
        <v>2022</v>
      </c>
      <c r="E62" t="s">
        <v>871</v>
      </c>
      <c r="H62" t="s">
        <v>744</v>
      </c>
      <c r="I62">
        <v>49</v>
      </c>
      <c r="J62" s="60">
        <v>45338.889618055553</v>
      </c>
      <c r="K62" t="s">
        <v>361</v>
      </c>
      <c r="L62" t="s">
        <v>745</v>
      </c>
      <c r="M62" t="s">
        <v>746</v>
      </c>
      <c r="N62" t="s">
        <v>747</v>
      </c>
      <c r="O62">
        <v>22</v>
      </c>
      <c r="P62">
        <v>5</v>
      </c>
      <c r="Q62">
        <v>20480</v>
      </c>
      <c r="R62">
        <v>20497</v>
      </c>
      <c r="S62">
        <v>2</v>
      </c>
      <c r="T62" t="s">
        <v>332</v>
      </c>
      <c r="U62">
        <v>2</v>
      </c>
      <c r="V62">
        <v>1</v>
      </c>
      <c r="W62">
        <v>2</v>
      </c>
    </row>
    <row r="63" spans="1:23" x14ac:dyDescent="0.3">
      <c r="A63">
        <v>0</v>
      </c>
      <c r="B63" t="s">
        <v>748</v>
      </c>
      <c r="C63" t="s">
        <v>749</v>
      </c>
      <c r="D63">
        <v>2021</v>
      </c>
      <c r="E63" t="s">
        <v>868</v>
      </c>
      <c r="H63" t="s">
        <v>750</v>
      </c>
      <c r="I63">
        <v>76</v>
      </c>
      <c r="J63" s="60">
        <v>45338.889618055553</v>
      </c>
      <c r="K63" t="s">
        <v>361</v>
      </c>
      <c r="L63" t="s">
        <v>751</v>
      </c>
      <c r="M63" t="s">
        <v>702</v>
      </c>
      <c r="N63" t="s">
        <v>752</v>
      </c>
      <c r="O63">
        <v>9</v>
      </c>
      <c r="Q63">
        <v>8</v>
      </c>
      <c r="R63">
        <v>13</v>
      </c>
      <c r="S63">
        <v>0</v>
      </c>
      <c r="T63" t="s">
        <v>380</v>
      </c>
      <c r="U63">
        <v>0</v>
      </c>
      <c r="V63">
        <v>1</v>
      </c>
      <c r="W63">
        <v>3</v>
      </c>
    </row>
    <row r="64" spans="1:23" x14ac:dyDescent="0.3">
      <c r="A64">
        <v>31</v>
      </c>
      <c r="B64" t="s">
        <v>753</v>
      </c>
      <c r="C64" t="s">
        <v>754</v>
      </c>
      <c r="D64">
        <v>2022</v>
      </c>
      <c r="E64" t="s">
        <v>872</v>
      </c>
      <c r="G64" t="s">
        <v>755</v>
      </c>
      <c r="H64" t="s">
        <v>756</v>
      </c>
      <c r="I64">
        <v>7</v>
      </c>
      <c r="J64" s="60">
        <v>45338.889618055553</v>
      </c>
      <c r="K64" t="s">
        <v>493</v>
      </c>
      <c r="L64" t="s">
        <v>757</v>
      </c>
      <c r="M64" t="s">
        <v>758</v>
      </c>
      <c r="N64" t="s">
        <v>759</v>
      </c>
      <c r="O64">
        <v>42</v>
      </c>
      <c r="Q64">
        <v>49</v>
      </c>
      <c r="R64">
        <v>61</v>
      </c>
      <c r="S64">
        <v>31</v>
      </c>
      <c r="T64" t="s">
        <v>760</v>
      </c>
      <c r="U64">
        <v>31</v>
      </c>
      <c r="V64">
        <v>1</v>
      </c>
      <c r="W64">
        <v>2</v>
      </c>
    </row>
    <row r="65" spans="1:23" x14ac:dyDescent="0.3">
      <c r="A65">
        <v>3</v>
      </c>
      <c r="B65" t="s">
        <v>761</v>
      </c>
      <c r="C65" t="s">
        <v>762</v>
      </c>
      <c r="D65">
        <v>2021</v>
      </c>
      <c r="E65" t="s">
        <v>873</v>
      </c>
      <c r="H65" t="s">
        <v>763</v>
      </c>
      <c r="I65">
        <v>44</v>
      </c>
      <c r="J65" s="60">
        <v>45338.889618055553</v>
      </c>
      <c r="K65" t="s">
        <v>361</v>
      </c>
      <c r="L65" t="s">
        <v>764</v>
      </c>
      <c r="M65" t="s">
        <v>765</v>
      </c>
      <c r="N65" t="s">
        <v>766</v>
      </c>
      <c r="O65">
        <v>121</v>
      </c>
      <c r="P65">
        <v>4</v>
      </c>
      <c r="Q65">
        <v>502</v>
      </c>
      <c r="R65">
        <v>510</v>
      </c>
      <c r="S65">
        <v>3</v>
      </c>
      <c r="T65" t="s">
        <v>332</v>
      </c>
      <c r="U65">
        <v>3</v>
      </c>
      <c r="V65">
        <v>1</v>
      </c>
      <c r="W65">
        <v>3</v>
      </c>
    </row>
    <row r="66" spans="1:23" x14ac:dyDescent="0.3">
      <c r="A66">
        <v>1</v>
      </c>
      <c r="B66" t="s">
        <v>761</v>
      </c>
      <c r="C66" t="s">
        <v>767</v>
      </c>
      <c r="D66">
        <v>2021</v>
      </c>
      <c r="E66" t="s">
        <v>873</v>
      </c>
      <c r="H66" t="s">
        <v>768</v>
      </c>
      <c r="I66">
        <v>58</v>
      </c>
      <c r="J66" s="60">
        <v>45338.889618055553</v>
      </c>
      <c r="K66" t="s">
        <v>493</v>
      </c>
      <c r="L66" t="s">
        <v>769</v>
      </c>
      <c r="M66" t="s">
        <v>765</v>
      </c>
      <c r="N66" t="s">
        <v>770</v>
      </c>
      <c r="O66">
        <v>121</v>
      </c>
      <c r="P66">
        <v>3</v>
      </c>
      <c r="Q66">
        <v>360</v>
      </c>
      <c r="R66">
        <v>364</v>
      </c>
      <c r="S66">
        <v>1</v>
      </c>
      <c r="T66" t="s">
        <v>771</v>
      </c>
      <c r="U66">
        <v>1</v>
      </c>
      <c r="V66">
        <v>1</v>
      </c>
      <c r="W66">
        <v>3</v>
      </c>
    </row>
    <row r="67" spans="1:23" x14ac:dyDescent="0.3">
      <c r="A67">
        <v>20</v>
      </c>
      <c r="B67" t="s">
        <v>772</v>
      </c>
      <c r="C67" t="s">
        <v>773</v>
      </c>
      <c r="D67">
        <v>2021</v>
      </c>
      <c r="E67" t="s">
        <v>848</v>
      </c>
      <c r="H67" t="s">
        <v>774</v>
      </c>
      <c r="I67">
        <v>12</v>
      </c>
      <c r="J67" s="60">
        <v>45338.889618055553</v>
      </c>
      <c r="K67" t="s">
        <v>361</v>
      </c>
      <c r="L67" t="s">
        <v>775</v>
      </c>
      <c r="M67" t="s">
        <v>469</v>
      </c>
      <c r="N67" t="s">
        <v>776</v>
      </c>
      <c r="O67">
        <v>16</v>
      </c>
      <c r="P67">
        <v>6</v>
      </c>
      <c r="S67">
        <v>20</v>
      </c>
      <c r="T67" t="s">
        <v>446</v>
      </c>
      <c r="U67">
        <v>20</v>
      </c>
      <c r="V67">
        <v>1</v>
      </c>
      <c r="W67">
        <v>3</v>
      </c>
    </row>
    <row r="68" spans="1:23" x14ac:dyDescent="0.3">
      <c r="A68">
        <v>26</v>
      </c>
      <c r="B68" t="s">
        <v>777</v>
      </c>
      <c r="C68" t="s">
        <v>778</v>
      </c>
      <c r="D68">
        <v>2020</v>
      </c>
      <c r="E68" t="s">
        <v>874</v>
      </c>
      <c r="H68" t="s">
        <v>779</v>
      </c>
      <c r="I68">
        <v>10</v>
      </c>
      <c r="J68" s="60">
        <v>45338.889618055553</v>
      </c>
      <c r="K68" t="s">
        <v>361</v>
      </c>
      <c r="L68" t="s">
        <v>780</v>
      </c>
      <c r="M68" t="s">
        <v>781</v>
      </c>
      <c r="N68" t="s">
        <v>782</v>
      </c>
      <c r="O68">
        <v>24</v>
      </c>
      <c r="Q68">
        <v>39</v>
      </c>
      <c r="R68">
        <v>47</v>
      </c>
      <c r="S68">
        <v>26</v>
      </c>
      <c r="T68" t="s">
        <v>471</v>
      </c>
      <c r="U68">
        <v>26</v>
      </c>
      <c r="V68">
        <v>1</v>
      </c>
      <c r="W68">
        <v>4</v>
      </c>
    </row>
    <row r="69" spans="1:23" x14ac:dyDescent="0.3">
      <c r="A69">
        <v>8</v>
      </c>
      <c r="B69" t="s">
        <v>783</v>
      </c>
      <c r="C69" t="s">
        <v>784</v>
      </c>
      <c r="D69">
        <v>2022</v>
      </c>
      <c r="E69" t="s">
        <v>854</v>
      </c>
      <c r="H69" t="s">
        <v>785</v>
      </c>
      <c r="I69">
        <v>24</v>
      </c>
      <c r="J69" s="60">
        <v>45338.889618055553</v>
      </c>
      <c r="K69" t="s">
        <v>361</v>
      </c>
      <c r="L69" t="s">
        <v>786</v>
      </c>
      <c r="M69" t="s">
        <v>528</v>
      </c>
      <c r="N69" t="s">
        <v>787</v>
      </c>
      <c r="O69">
        <v>19</v>
      </c>
      <c r="P69">
        <v>7</v>
      </c>
      <c r="S69">
        <v>8</v>
      </c>
      <c r="T69" t="s">
        <v>523</v>
      </c>
      <c r="U69">
        <v>8</v>
      </c>
      <c r="V69">
        <v>1</v>
      </c>
      <c r="W69">
        <v>2</v>
      </c>
    </row>
    <row r="70" spans="1:23" x14ac:dyDescent="0.3">
      <c r="A70">
        <v>10</v>
      </c>
      <c r="B70" t="s">
        <v>788</v>
      </c>
      <c r="C70" t="s">
        <v>789</v>
      </c>
      <c r="D70">
        <v>2020</v>
      </c>
      <c r="E70" t="s">
        <v>868</v>
      </c>
      <c r="H70" t="s">
        <v>790</v>
      </c>
      <c r="I70">
        <v>21</v>
      </c>
      <c r="J70" s="60">
        <v>45338.889618055553</v>
      </c>
      <c r="K70" t="s">
        <v>361</v>
      </c>
      <c r="L70" t="s">
        <v>791</v>
      </c>
      <c r="M70" t="s">
        <v>702</v>
      </c>
      <c r="N70" t="s">
        <v>792</v>
      </c>
      <c r="O70">
        <v>8</v>
      </c>
      <c r="Q70">
        <v>155</v>
      </c>
      <c r="R70">
        <v>160</v>
      </c>
      <c r="S70">
        <v>10</v>
      </c>
      <c r="T70" t="s">
        <v>649</v>
      </c>
      <c r="U70">
        <v>10</v>
      </c>
      <c r="V70">
        <v>1</v>
      </c>
      <c r="W70">
        <v>4</v>
      </c>
    </row>
    <row r="71" spans="1:23" x14ac:dyDescent="0.3">
      <c r="A71">
        <v>2</v>
      </c>
      <c r="B71" t="s">
        <v>793</v>
      </c>
      <c r="C71" t="s">
        <v>794</v>
      </c>
      <c r="D71">
        <v>2022</v>
      </c>
      <c r="E71" t="s">
        <v>875</v>
      </c>
      <c r="H71" t="s">
        <v>795</v>
      </c>
      <c r="I71">
        <v>51</v>
      </c>
      <c r="J71" s="60">
        <v>45338.889618055553</v>
      </c>
      <c r="K71" t="s">
        <v>796</v>
      </c>
      <c r="M71" t="s">
        <v>797</v>
      </c>
      <c r="N71" t="s">
        <v>798</v>
      </c>
      <c r="O71">
        <v>51</v>
      </c>
      <c r="P71">
        <v>1</v>
      </c>
      <c r="Q71">
        <v>213</v>
      </c>
      <c r="R71">
        <v>215</v>
      </c>
      <c r="S71">
        <v>2</v>
      </c>
      <c r="T71" t="s">
        <v>332</v>
      </c>
      <c r="U71">
        <v>2</v>
      </c>
      <c r="V71">
        <v>1</v>
      </c>
      <c r="W71">
        <v>2</v>
      </c>
    </row>
    <row r="72" spans="1:23" x14ac:dyDescent="0.3">
      <c r="A72">
        <v>2</v>
      </c>
      <c r="B72" t="s">
        <v>799</v>
      </c>
      <c r="C72" t="s">
        <v>800</v>
      </c>
      <c r="D72">
        <v>2022</v>
      </c>
      <c r="E72" t="s">
        <v>427</v>
      </c>
      <c r="H72" t="s">
        <v>801</v>
      </c>
      <c r="I72">
        <v>50</v>
      </c>
      <c r="J72" s="60">
        <v>45338.889618055553</v>
      </c>
      <c r="K72" t="s">
        <v>361</v>
      </c>
      <c r="L72" t="s">
        <v>802</v>
      </c>
      <c r="M72" t="s">
        <v>430</v>
      </c>
      <c r="N72" t="s">
        <v>803</v>
      </c>
      <c r="O72">
        <v>2022</v>
      </c>
      <c r="S72">
        <v>2</v>
      </c>
      <c r="T72" t="s">
        <v>332</v>
      </c>
      <c r="U72">
        <v>2</v>
      </c>
      <c r="V72">
        <v>1</v>
      </c>
      <c r="W72">
        <v>2</v>
      </c>
    </row>
    <row r="73" spans="1:23" x14ac:dyDescent="0.3">
      <c r="A73">
        <v>6</v>
      </c>
      <c r="B73" t="s">
        <v>804</v>
      </c>
      <c r="C73" t="s">
        <v>805</v>
      </c>
      <c r="D73">
        <v>2022</v>
      </c>
      <c r="E73" t="s">
        <v>806</v>
      </c>
      <c r="H73" t="s">
        <v>807</v>
      </c>
      <c r="I73">
        <v>28</v>
      </c>
      <c r="J73" s="60">
        <v>45338.889618055553</v>
      </c>
      <c r="K73" t="s">
        <v>361</v>
      </c>
      <c r="L73" t="s">
        <v>808</v>
      </c>
      <c r="M73" t="s">
        <v>809</v>
      </c>
      <c r="N73" t="s">
        <v>810</v>
      </c>
      <c r="O73">
        <v>80</v>
      </c>
      <c r="P73">
        <v>1</v>
      </c>
      <c r="S73">
        <v>6</v>
      </c>
      <c r="T73" t="s">
        <v>516</v>
      </c>
      <c r="U73">
        <v>6</v>
      </c>
      <c r="V73">
        <v>1</v>
      </c>
      <c r="W73">
        <v>2</v>
      </c>
    </row>
    <row r="74" spans="1:23" x14ac:dyDescent="0.3">
      <c r="A74">
        <v>1</v>
      </c>
      <c r="B74" t="s">
        <v>811</v>
      </c>
      <c r="C74" t="s">
        <v>812</v>
      </c>
      <c r="D74">
        <v>2020</v>
      </c>
      <c r="E74" t="s">
        <v>813</v>
      </c>
      <c r="H74" t="s">
        <v>814</v>
      </c>
      <c r="I74">
        <v>59</v>
      </c>
      <c r="J74" s="60">
        <v>45338.889618055553</v>
      </c>
      <c r="K74" t="s">
        <v>458</v>
      </c>
      <c r="L74" t="s">
        <v>815</v>
      </c>
      <c r="N74" t="s">
        <v>816</v>
      </c>
      <c r="Q74">
        <v>323</v>
      </c>
      <c r="R74">
        <v>345</v>
      </c>
      <c r="S74">
        <v>1</v>
      </c>
      <c r="T74" t="s">
        <v>817</v>
      </c>
      <c r="U74">
        <v>1</v>
      </c>
      <c r="V74">
        <v>1</v>
      </c>
      <c r="W74">
        <v>4</v>
      </c>
    </row>
    <row r="75" spans="1:23" x14ac:dyDescent="0.3">
      <c r="A75">
        <v>9</v>
      </c>
      <c r="B75" t="s">
        <v>818</v>
      </c>
      <c r="C75" t="s">
        <v>819</v>
      </c>
      <c r="D75">
        <v>2022</v>
      </c>
      <c r="E75" t="s">
        <v>359</v>
      </c>
      <c r="H75" t="s">
        <v>820</v>
      </c>
      <c r="I75">
        <v>23</v>
      </c>
      <c r="J75" s="60">
        <v>45338.889618055553</v>
      </c>
      <c r="K75" t="s">
        <v>361</v>
      </c>
      <c r="L75" t="s">
        <v>821</v>
      </c>
      <c r="M75" t="s">
        <v>363</v>
      </c>
      <c r="N75" t="s">
        <v>822</v>
      </c>
      <c r="O75">
        <v>22</v>
      </c>
      <c r="P75">
        <v>1</v>
      </c>
      <c r="S75">
        <v>9</v>
      </c>
      <c r="T75" t="s">
        <v>823</v>
      </c>
      <c r="U75">
        <v>9</v>
      </c>
      <c r="V75">
        <v>1</v>
      </c>
      <c r="W75">
        <v>2</v>
      </c>
    </row>
    <row r="76" spans="1:23" x14ac:dyDescent="0.3">
      <c r="A76">
        <v>0</v>
      </c>
      <c r="B76" t="s">
        <v>824</v>
      </c>
      <c r="C76" t="s">
        <v>825</v>
      </c>
      <c r="D76">
        <v>2022</v>
      </c>
      <c r="E76" t="s">
        <v>405</v>
      </c>
      <c r="H76" t="s">
        <v>826</v>
      </c>
      <c r="I76">
        <v>73</v>
      </c>
      <c r="J76" s="60">
        <v>45338.889618055553</v>
      </c>
      <c r="K76" t="s">
        <v>361</v>
      </c>
      <c r="L76" t="s">
        <v>827</v>
      </c>
      <c r="M76" t="s">
        <v>408</v>
      </c>
      <c r="N76" t="s">
        <v>828</v>
      </c>
      <c r="O76">
        <v>11</v>
      </c>
      <c r="P76">
        <v>2</v>
      </c>
      <c r="S76">
        <v>0</v>
      </c>
      <c r="T76" t="s">
        <v>380</v>
      </c>
      <c r="U76">
        <v>0</v>
      </c>
      <c r="V76">
        <v>1</v>
      </c>
      <c r="W76">
        <v>2</v>
      </c>
    </row>
    <row r="77" spans="1:23" x14ac:dyDescent="0.3">
      <c r="A77">
        <v>6</v>
      </c>
      <c r="B77" t="s">
        <v>829</v>
      </c>
      <c r="C77" t="s">
        <v>830</v>
      </c>
      <c r="D77">
        <v>2022</v>
      </c>
      <c r="E77" t="s">
        <v>359</v>
      </c>
      <c r="H77" t="s">
        <v>831</v>
      </c>
      <c r="I77">
        <v>29</v>
      </c>
      <c r="J77" s="60">
        <v>45338.889618055553</v>
      </c>
      <c r="K77" t="s">
        <v>361</v>
      </c>
      <c r="L77" t="s">
        <v>832</v>
      </c>
      <c r="M77" t="s">
        <v>363</v>
      </c>
      <c r="N77" t="s">
        <v>833</v>
      </c>
      <c r="O77">
        <v>22</v>
      </c>
      <c r="P77">
        <v>1</v>
      </c>
      <c r="S77">
        <v>6</v>
      </c>
      <c r="T77" t="s">
        <v>516</v>
      </c>
      <c r="U77">
        <v>6</v>
      </c>
      <c r="V77">
        <v>1</v>
      </c>
      <c r="W77">
        <v>2</v>
      </c>
    </row>
    <row r="78" spans="1:23" x14ac:dyDescent="0.3">
      <c r="A78">
        <v>19</v>
      </c>
      <c r="B78" t="s">
        <v>834</v>
      </c>
      <c r="C78" t="s">
        <v>835</v>
      </c>
      <c r="D78">
        <v>2018</v>
      </c>
      <c r="E78" t="s">
        <v>856</v>
      </c>
      <c r="H78" t="s">
        <v>836</v>
      </c>
      <c r="I78">
        <v>16</v>
      </c>
      <c r="J78" s="60">
        <v>45338.889618055553</v>
      </c>
      <c r="K78" t="s">
        <v>361</v>
      </c>
      <c r="L78" t="s">
        <v>837</v>
      </c>
      <c r="M78" t="s">
        <v>501</v>
      </c>
      <c r="N78" t="s">
        <v>838</v>
      </c>
      <c r="O78">
        <v>14</v>
      </c>
      <c r="S78">
        <v>19</v>
      </c>
      <c r="T78" t="s">
        <v>839</v>
      </c>
      <c r="U78">
        <v>19</v>
      </c>
      <c r="V78">
        <v>1</v>
      </c>
      <c r="W78">
        <v>6</v>
      </c>
    </row>
  </sheetData>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4F338-67DB-4C8E-9FC2-DE642DF3B499}">
  <dimension ref="B1:AH68"/>
  <sheetViews>
    <sheetView showGridLines="0" tabSelected="1" topLeftCell="B1" zoomScaleNormal="100" workbookViewId="0">
      <pane ySplit="1" topLeftCell="A17" activePane="bottomLeft" state="frozen"/>
      <selection activeCell="H1" sqref="H1"/>
      <selection pane="bottomLeft" activeCell="C19" sqref="C19"/>
    </sheetView>
  </sheetViews>
  <sheetFormatPr defaultRowHeight="14.4" x14ac:dyDescent="0.3"/>
  <cols>
    <col min="2" max="2" width="4.6640625" customWidth="1"/>
    <col min="3" max="3" width="15.77734375" customWidth="1"/>
    <col min="4" max="4" width="11.109375" customWidth="1"/>
    <col min="5" max="5" width="38.44140625" customWidth="1"/>
    <col min="6" max="6" width="7.44140625" customWidth="1"/>
    <col min="7" max="7" width="5.44140625" customWidth="1"/>
    <col min="8" max="8" width="6.5546875" customWidth="1"/>
    <col min="9" max="9" width="5.77734375" customWidth="1"/>
    <col min="10" max="10" width="6.109375" customWidth="1"/>
    <col min="11" max="11" width="6" customWidth="1"/>
    <col min="12" max="12" width="6.44140625" customWidth="1"/>
    <col min="13" max="13" width="5.77734375" customWidth="1"/>
    <col min="14" max="14" width="5.6640625" customWidth="1"/>
    <col min="15" max="15" width="5.77734375" customWidth="1"/>
    <col min="16" max="16" width="6.6640625" customWidth="1"/>
    <col min="17" max="17" width="7.5546875" customWidth="1"/>
    <col min="18" max="18" width="5.77734375" customWidth="1"/>
    <col min="19" max="19" width="7.44140625" customWidth="1"/>
    <col min="20" max="20" width="5.33203125" customWidth="1"/>
    <col min="21" max="21" width="7.109375" customWidth="1"/>
    <col min="22" max="22" width="7.88671875" customWidth="1"/>
    <col min="23" max="24" width="7.109375" customWidth="1"/>
    <col min="25" max="25" width="6.5546875" customWidth="1"/>
    <col min="26" max="26" width="7.44140625" customWidth="1"/>
  </cols>
  <sheetData>
    <row r="1" spans="2:34" ht="48" x14ac:dyDescent="0.3">
      <c r="B1" s="7"/>
      <c r="C1" s="5"/>
      <c r="D1" s="16"/>
      <c r="E1" s="5"/>
      <c r="F1" s="27" t="s">
        <v>88</v>
      </c>
      <c r="G1" s="10" t="s">
        <v>99</v>
      </c>
      <c r="H1" s="31" t="s">
        <v>84</v>
      </c>
      <c r="I1" s="31" t="s">
        <v>280</v>
      </c>
      <c r="J1" s="31" t="s">
        <v>85</v>
      </c>
      <c r="K1" s="31" t="s">
        <v>86</v>
      </c>
      <c r="L1" s="27" t="s">
        <v>87</v>
      </c>
      <c r="M1" s="6" t="s">
        <v>89</v>
      </c>
      <c r="N1" s="31" t="s">
        <v>90</v>
      </c>
      <c r="O1" s="31" t="s">
        <v>270</v>
      </c>
      <c r="P1" s="27" t="s">
        <v>83</v>
      </c>
      <c r="Q1" s="27" t="s">
        <v>93</v>
      </c>
      <c r="R1" s="6" t="s">
        <v>103</v>
      </c>
      <c r="S1" s="27" t="s">
        <v>95</v>
      </c>
      <c r="T1" s="31" t="s">
        <v>91</v>
      </c>
      <c r="U1" s="31" t="s">
        <v>92</v>
      </c>
      <c r="V1" s="6" t="s">
        <v>94</v>
      </c>
      <c r="W1" s="6" t="s">
        <v>187</v>
      </c>
      <c r="X1" s="6" t="s">
        <v>188</v>
      </c>
      <c r="Y1" s="31" t="s">
        <v>110</v>
      </c>
      <c r="Z1" s="31" t="s">
        <v>184</v>
      </c>
      <c r="AA1" s="27" t="s">
        <v>114</v>
      </c>
      <c r="AB1" s="6" t="s">
        <v>247</v>
      </c>
      <c r="AC1" s="6" t="s">
        <v>250</v>
      </c>
      <c r="AD1" s="6" t="s">
        <v>254</v>
      </c>
      <c r="AE1" s="6" t="s">
        <v>257</v>
      </c>
      <c r="AF1" s="6" t="s">
        <v>264</v>
      </c>
      <c r="AG1" s="6" t="s">
        <v>273</v>
      </c>
      <c r="AH1" s="6" t="s">
        <v>274</v>
      </c>
    </row>
    <row r="2" spans="2:34" ht="48.6" customHeight="1" x14ac:dyDescent="0.3">
      <c r="B2" s="17">
        <v>1</v>
      </c>
      <c r="C2" s="29" t="s">
        <v>96</v>
      </c>
      <c r="D2" s="35" t="s">
        <v>98</v>
      </c>
      <c r="E2" s="30" t="s">
        <v>97</v>
      </c>
      <c r="F2" s="41"/>
      <c r="G2" s="41" t="s">
        <v>8</v>
      </c>
      <c r="H2" s="41"/>
      <c r="I2" s="42"/>
      <c r="J2" s="42"/>
      <c r="K2" s="42"/>
      <c r="L2" s="42"/>
      <c r="M2" s="42"/>
      <c r="N2" s="43"/>
      <c r="O2" s="43"/>
      <c r="P2" s="43"/>
      <c r="Q2" s="43"/>
      <c r="R2" s="43"/>
      <c r="S2" s="43"/>
      <c r="T2" s="43"/>
      <c r="U2" s="43"/>
      <c r="V2" s="43"/>
      <c r="W2" s="43"/>
      <c r="X2" s="43"/>
      <c r="Y2" s="43"/>
      <c r="Z2" s="43"/>
      <c r="AA2" s="43"/>
      <c r="AB2" s="43"/>
      <c r="AC2" s="43"/>
      <c r="AD2" s="43"/>
      <c r="AE2" s="43"/>
      <c r="AF2" s="43"/>
      <c r="AG2" s="43"/>
      <c r="AH2" s="43"/>
    </row>
    <row r="3" spans="2:34" ht="39.6" customHeight="1" x14ac:dyDescent="0.3">
      <c r="B3" s="17">
        <v>2</v>
      </c>
      <c r="C3" s="31" t="s">
        <v>100</v>
      </c>
      <c r="D3" s="36" t="s">
        <v>101</v>
      </c>
      <c r="E3" s="8" t="s">
        <v>102</v>
      </c>
      <c r="F3" s="41"/>
      <c r="G3" s="44"/>
      <c r="H3" s="44"/>
      <c r="I3" s="50" t="s">
        <v>8</v>
      </c>
      <c r="J3" s="42"/>
      <c r="K3" s="41" t="s">
        <v>8</v>
      </c>
      <c r="L3" s="50" t="s">
        <v>8</v>
      </c>
      <c r="M3" s="42"/>
      <c r="N3" s="43"/>
      <c r="O3" s="43"/>
      <c r="P3" s="43"/>
      <c r="Q3" s="50" t="s">
        <v>8</v>
      </c>
      <c r="R3" s="41" t="s">
        <v>8</v>
      </c>
      <c r="S3" s="43"/>
      <c r="T3" s="43"/>
      <c r="U3" s="43"/>
      <c r="V3" s="43"/>
      <c r="W3" s="41" t="s">
        <v>8</v>
      </c>
      <c r="X3" s="41"/>
      <c r="Y3" s="41"/>
      <c r="Z3" s="43"/>
      <c r="AA3" s="43"/>
      <c r="AB3" s="43"/>
      <c r="AC3" s="43"/>
      <c r="AD3" s="43"/>
      <c r="AE3" s="43"/>
      <c r="AF3" s="43"/>
      <c r="AG3" s="43"/>
      <c r="AH3" s="43"/>
    </row>
    <row r="4" spans="2:34" ht="40.200000000000003" customHeight="1" x14ac:dyDescent="0.3">
      <c r="B4" s="17">
        <v>3</v>
      </c>
      <c r="C4" s="31" t="s">
        <v>104</v>
      </c>
      <c r="D4" s="36" t="s">
        <v>101</v>
      </c>
      <c r="E4" s="8" t="s">
        <v>105</v>
      </c>
      <c r="F4" s="42"/>
      <c r="G4" s="41"/>
      <c r="H4" s="41"/>
      <c r="I4" s="50" t="s">
        <v>8</v>
      </c>
      <c r="J4" s="50" t="s">
        <v>8</v>
      </c>
      <c r="K4" s="42"/>
      <c r="L4" s="42"/>
      <c r="M4" s="42"/>
      <c r="N4" s="43"/>
      <c r="O4" s="50" t="s">
        <v>8</v>
      </c>
      <c r="P4" s="43"/>
      <c r="Q4" s="43"/>
      <c r="R4" s="43"/>
      <c r="S4" s="41" t="s">
        <v>8</v>
      </c>
      <c r="T4" s="43"/>
      <c r="U4" s="43"/>
      <c r="V4" s="43"/>
      <c r="W4" s="43"/>
      <c r="X4" s="43"/>
      <c r="Y4" s="43"/>
      <c r="Z4" s="41" t="s">
        <v>8</v>
      </c>
      <c r="AA4" s="43"/>
      <c r="AB4" s="43"/>
      <c r="AC4" s="43"/>
      <c r="AD4" s="43"/>
      <c r="AE4" s="43"/>
      <c r="AF4" s="43"/>
      <c r="AG4" s="43"/>
      <c r="AH4" s="43"/>
    </row>
    <row r="5" spans="2:34" ht="36" x14ac:dyDescent="0.3">
      <c r="B5" s="17">
        <v>4</v>
      </c>
      <c r="C5" s="6" t="s">
        <v>106</v>
      </c>
      <c r="D5" s="36" t="s">
        <v>107</v>
      </c>
      <c r="E5" s="8" t="s">
        <v>108</v>
      </c>
      <c r="F5" s="42"/>
      <c r="G5" s="44"/>
      <c r="H5" s="41"/>
      <c r="I5" s="41"/>
      <c r="J5" s="50" t="s">
        <v>8</v>
      </c>
      <c r="K5" s="42"/>
      <c r="L5" s="42"/>
      <c r="M5" s="42"/>
      <c r="N5" s="50" t="s">
        <v>8</v>
      </c>
      <c r="O5" s="50" t="s">
        <v>8</v>
      </c>
      <c r="P5" s="43"/>
      <c r="Q5" s="43"/>
      <c r="R5" s="43"/>
      <c r="S5" s="43"/>
      <c r="T5" s="41"/>
      <c r="U5" s="41"/>
      <c r="V5" s="43"/>
      <c r="W5" s="43"/>
      <c r="X5" s="43"/>
      <c r="Y5" s="50" t="s">
        <v>8</v>
      </c>
      <c r="Z5" s="41"/>
      <c r="AA5" s="43"/>
      <c r="AB5" s="43"/>
      <c r="AC5" s="43"/>
      <c r="AD5" s="43"/>
      <c r="AE5" s="43"/>
      <c r="AF5" s="43"/>
      <c r="AG5" s="43"/>
      <c r="AH5" s="43"/>
    </row>
    <row r="6" spans="2:34" ht="42.6" customHeight="1" x14ac:dyDescent="0.3">
      <c r="B6" s="17">
        <v>5</v>
      </c>
      <c r="C6" s="6" t="s">
        <v>112</v>
      </c>
      <c r="D6" s="36" t="s">
        <v>101</v>
      </c>
      <c r="E6" s="8" t="s">
        <v>109</v>
      </c>
      <c r="F6" s="42"/>
      <c r="G6" s="42"/>
      <c r="H6" s="50" t="s">
        <v>8</v>
      </c>
      <c r="I6" s="42"/>
      <c r="J6" s="50" t="s">
        <v>8</v>
      </c>
      <c r="K6" s="42"/>
      <c r="L6" s="41"/>
      <c r="M6" s="42"/>
      <c r="N6" s="43"/>
      <c r="O6" s="43"/>
      <c r="P6" s="43"/>
      <c r="Q6" s="43"/>
      <c r="R6" s="43"/>
      <c r="S6" s="43"/>
      <c r="T6" s="50" t="s">
        <v>8</v>
      </c>
      <c r="U6" s="50" t="s">
        <v>8</v>
      </c>
      <c r="V6" s="43"/>
      <c r="W6" s="43"/>
      <c r="X6" s="43"/>
      <c r="Y6" s="43"/>
      <c r="Z6" s="43"/>
      <c r="AA6" s="43"/>
      <c r="AB6" s="43"/>
      <c r="AC6" s="43"/>
      <c r="AD6" s="43"/>
      <c r="AE6" s="43"/>
      <c r="AF6" s="43"/>
      <c r="AG6" s="43"/>
      <c r="AH6" s="43"/>
    </row>
    <row r="7" spans="2:34" ht="33" customHeight="1" x14ac:dyDescent="0.3">
      <c r="B7" s="17">
        <v>6</v>
      </c>
      <c r="C7" s="6" t="s">
        <v>111</v>
      </c>
      <c r="D7" s="36" t="s">
        <v>101</v>
      </c>
      <c r="E7" s="8" t="s">
        <v>113</v>
      </c>
      <c r="F7" s="42"/>
      <c r="G7" s="41"/>
      <c r="H7" s="50" t="s">
        <v>8</v>
      </c>
      <c r="I7" s="50" t="s">
        <v>8</v>
      </c>
      <c r="J7" s="49"/>
      <c r="K7" s="41"/>
      <c r="L7" s="42"/>
      <c r="M7" s="42"/>
      <c r="N7" s="43"/>
      <c r="O7" s="43"/>
      <c r="P7" s="50" t="s">
        <v>8</v>
      </c>
      <c r="Q7" s="43"/>
      <c r="R7" s="43"/>
      <c r="S7" s="43"/>
      <c r="T7" s="43"/>
      <c r="U7" s="43"/>
      <c r="V7" s="43"/>
      <c r="W7" s="43"/>
      <c r="X7" s="43"/>
      <c r="Y7" s="43"/>
      <c r="Z7" s="43"/>
      <c r="AA7" s="41" t="s">
        <v>8</v>
      </c>
      <c r="AB7" s="43"/>
      <c r="AC7" s="43"/>
      <c r="AD7" s="43"/>
      <c r="AE7" s="43"/>
      <c r="AF7" s="43"/>
      <c r="AG7" s="43"/>
      <c r="AH7" s="43"/>
    </row>
    <row r="8" spans="2:34" ht="43.8" customHeight="1" x14ac:dyDescent="0.3">
      <c r="B8" s="17">
        <v>7</v>
      </c>
      <c r="C8" s="31" t="s">
        <v>115</v>
      </c>
      <c r="D8" s="36" t="s">
        <v>117</v>
      </c>
      <c r="E8" s="8" t="s">
        <v>116</v>
      </c>
      <c r="F8" s="50" t="s">
        <v>8</v>
      </c>
      <c r="G8" s="41"/>
      <c r="H8" s="50" t="s">
        <v>8</v>
      </c>
      <c r="I8" s="42"/>
      <c r="J8" s="50" t="s">
        <v>8</v>
      </c>
      <c r="K8" s="42"/>
      <c r="L8" s="42"/>
      <c r="M8" s="42"/>
      <c r="N8" s="50" t="s">
        <v>8</v>
      </c>
      <c r="O8" s="50" t="s">
        <v>8</v>
      </c>
      <c r="P8" s="41"/>
      <c r="Q8" s="43"/>
      <c r="R8" s="43"/>
      <c r="S8" s="43"/>
      <c r="T8" s="43"/>
      <c r="U8" s="43"/>
      <c r="V8" s="43"/>
      <c r="W8" s="43"/>
      <c r="X8" s="43"/>
      <c r="Y8" s="43"/>
      <c r="Z8" s="41" t="s">
        <v>8</v>
      </c>
      <c r="AA8" s="43"/>
      <c r="AB8" s="43"/>
      <c r="AC8" s="43"/>
      <c r="AD8" s="43"/>
      <c r="AE8" s="43"/>
      <c r="AF8" s="43"/>
      <c r="AG8" s="43"/>
      <c r="AH8" s="43"/>
    </row>
    <row r="9" spans="2:34" ht="43.2" customHeight="1" x14ac:dyDescent="0.3">
      <c r="B9" s="17">
        <v>8</v>
      </c>
      <c r="C9" s="31" t="s">
        <v>118</v>
      </c>
      <c r="D9" s="36" t="s">
        <v>101</v>
      </c>
      <c r="E9" s="8" t="s">
        <v>119</v>
      </c>
      <c r="F9" s="50" t="s">
        <v>8</v>
      </c>
      <c r="G9" s="42"/>
      <c r="H9" s="50" t="s">
        <v>8</v>
      </c>
      <c r="I9" s="42"/>
      <c r="J9" s="50" t="s">
        <v>8</v>
      </c>
      <c r="K9" s="50" t="s">
        <v>8</v>
      </c>
      <c r="L9" s="50" t="s">
        <v>8</v>
      </c>
      <c r="M9" s="41" t="s">
        <v>8</v>
      </c>
      <c r="N9" s="50" t="s">
        <v>8</v>
      </c>
      <c r="O9" s="50" t="s">
        <v>8</v>
      </c>
      <c r="P9" s="43"/>
      <c r="Q9" s="50" t="s">
        <v>8</v>
      </c>
      <c r="R9" s="41" t="s">
        <v>8</v>
      </c>
      <c r="S9" s="43"/>
      <c r="T9" s="50" t="s">
        <v>8</v>
      </c>
      <c r="U9" s="50" t="s">
        <v>8</v>
      </c>
      <c r="V9" s="43"/>
      <c r="W9" s="43"/>
      <c r="X9" s="43"/>
      <c r="Y9" s="50" t="s">
        <v>8</v>
      </c>
      <c r="Z9" s="43"/>
      <c r="AA9" s="43"/>
      <c r="AB9" s="43"/>
      <c r="AC9" s="43"/>
      <c r="AD9" s="43"/>
      <c r="AE9" s="43"/>
      <c r="AF9" s="43"/>
      <c r="AG9" s="43"/>
      <c r="AH9" s="43"/>
    </row>
    <row r="10" spans="2:34" ht="48" customHeight="1" x14ac:dyDescent="0.3">
      <c r="B10" s="17">
        <v>9</v>
      </c>
      <c r="C10" s="31" t="s">
        <v>120</v>
      </c>
      <c r="D10" s="36" t="s">
        <v>122</v>
      </c>
      <c r="E10" s="8" t="s">
        <v>121</v>
      </c>
      <c r="F10" s="42"/>
      <c r="G10" s="41"/>
      <c r="H10" s="49"/>
      <c r="I10" s="50" t="s">
        <v>8</v>
      </c>
      <c r="J10" s="49"/>
      <c r="K10" s="42"/>
      <c r="L10" s="42"/>
      <c r="M10" s="42"/>
      <c r="N10" s="50" t="s">
        <v>8</v>
      </c>
      <c r="O10" s="50" t="s">
        <v>8</v>
      </c>
      <c r="P10" s="43"/>
      <c r="Q10" s="43"/>
      <c r="R10" s="43"/>
      <c r="S10" s="41" t="s">
        <v>8</v>
      </c>
      <c r="T10" s="43"/>
      <c r="U10" s="43"/>
      <c r="V10" s="43"/>
      <c r="W10" s="43"/>
      <c r="X10" s="43"/>
      <c r="Y10" s="50" t="s">
        <v>8</v>
      </c>
      <c r="Z10" s="41" t="s">
        <v>8</v>
      </c>
      <c r="AA10" s="43"/>
      <c r="AB10" s="43"/>
      <c r="AC10" s="43"/>
      <c r="AD10" s="43"/>
      <c r="AE10" s="43"/>
      <c r="AF10" s="43"/>
      <c r="AG10" s="43"/>
      <c r="AH10" s="43"/>
    </row>
    <row r="11" spans="2:34" ht="36" x14ac:dyDescent="0.3">
      <c r="B11" s="17">
        <v>10</v>
      </c>
      <c r="C11" s="6" t="s">
        <v>123</v>
      </c>
      <c r="D11" s="37" t="s">
        <v>124</v>
      </c>
      <c r="E11" s="8" t="s">
        <v>125</v>
      </c>
      <c r="F11" s="42"/>
      <c r="G11" s="41" t="s">
        <v>8</v>
      </c>
      <c r="H11" s="49"/>
      <c r="I11" s="42"/>
      <c r="J11" s="49"/>
      <c r="K11" s="42"/>
      <c r="L11" s="42"/>
      <c r="M11" s="41"/>
      <c r="N11" s="43"/>
      <c r="O11" s="43"/>
      <c r="P11" s="43"/>
      <c r="Q11" s="43"/>
      <c r="R11" s="43"/>
      <c r="S11" s="41" t="s">
        <v>8</v>
      </c>
      <c r="T11" s="43"/>
      <c r="U11" s="43"/>
      <c r="V11" s="43"/>
      <c r="W11" s="43"/>
      <c r="X11" s="43"/>
      <c r="Y11" s="43"/>
      <c r="Z11" s="43"/>
      <c r="AA11" s="43"/>
      <c r="AB11" s="43"/>
      <c r="AC11" s="43"/>
      <c r="AD11" s="43"/>
      <c r="AE11" s="43"/>
      <c r="AF11" s="43"/>
      <c r="AG11" s="43"/>
      <c r="AH11" s="43"/>
    </row>
    <row r="12" spans="2:34" ht="39.6" customHeight="1" x14ac:dyDescent="0.3">
      <c r="B12" s="18">
        <v>11</v>
      </c>
      <c r="C12" s="31" t="s">
        <v>126</v>
      </c>
      <c r="D12" s="37" t="s">
        <v>127</v>
      </c>
      <c r="E12" s="9" t="s">
        <v>128</v>
      </c>
      <c r="F12" s="41"/>
      <c r="G12" s="45"/>
      <c r="H12" s="50" t="s">
        <v>8</v>
      </c>
      <c r="I12" s="45"/>
      <c r="J12" s="51"/>
      <c r="K12" s="45"/>
      <c r="L12" s="45"/>
      <c r="M12" s="45"/>
      <c r="N12" s="43"/>
      <c r="O12" s="43"/>
      <c r="P12" s="43"/>
      <c r="Q12" s="43"/>
      <c r="R12" s="43"/>
      <c r="S12" s="43"/>
      <c r="T12" s="43"/>
      <c r="U12" s="43"/>
      <c r="V12" s="43"/>
      <c r="W12" s="43"/>
      <c r="X12" s="43"/>
      <c r="Y12" s="43"/>
      <c r="Z12" s="43"/>
      <c r="AA12" s="43"/>
      <c r="AB12" s="43"/>
      <c r="AC12" s="43"/>
      <c r="AD12" s="43"/>
      <c r="AE12" s="43"/>
      <c r="AF12" s="43"/>
      <c r="AG12" s="43"/>
      <c r="AH12" s="43"/>
    </row>
    <row r="13" spans="2:34" ht="36" x14ac:dyDescent="0.3">
      <c r="B13" s="18">
        <v>12</v>
      </c>
      <c r="C13" s="6" t="s">
        <v>183</v>
      </c>
      <c r="D13" s="36" t="s">
        <v>101</v>
      </c>
      <c r="E13" s="12" t="s">
        <v>182</v>
      </c>
      <c r="F13" s="42"/>
      <c r="G13" s="42"/>
      <c r="H13" s="49"/>
      <c r="I13" s="41"/>
      <c r="J13" s="50" t="s">
        <v>8</v>
      </c>
      <c r="K13" s="42"/>
      <c r="L13" s="42"/>
      <c r="M13" s="42"/>
      <c r="N13" s="46"/>
      <c r="O13" s="50" t="s">
        <v>8</v>
      </c>
      <c r="P13" s="46"/>
      <c r="Q13" s="46"/>
      <c r="R13" s="46"/>
      <c r="S13" s="46"/>
      <c r="T13" s="46"/>
      <c r="U13" s="46"/>
      <c r="V13" s="46"/>
      <c r="W13" s="46"/>
      <c r="X13" s="46"/>
      <c r="Y13" s="46"/>
      <c r="Z13" s="41" t="s">
        <v>8</v>
      </c>
      <c r="AA13" s="46"/>
      <c r="AB13" s="46"/>
      <c r="AC13" s="43"/>
      <c r="AD13" s="43"/>
      <c r="AE13" s="43"/>
      <c r="AF13" s="43"/>
      <c r="AG13" s="43"/>
      <c r="AH13" s="43"/>
    </row>
    <row r="14" spans="2:34" ht="36" x14ac:dyDescent="0.3">
      <c r="B14" s="17">
        <v>13</v>
      </c>
      <c r="C14" s="15" t="s">
        <v>185</v>
      </c>
      <c r="D14" s="6" t="s">
        <v>101</v>
      </c>
      <c r="E14" s="19" t="s">
        <v>186</v>
      </c>
      <c r="F14" s="13"/>
      <c r="G14" s="13"/>
      <c r="H14" s="52"/>
      <c r="I14" s="13"/>
      <c r="J14" s="50" t="s">
        <v>8</v>
      </c>
      <c r="K14" s="50" t="s">
        <v>8</v>
      </c>
      <c r="L14" s="13"/>
      <c r="M14" s="13"/>
      <c r="N14" s="13"/>
      <c r="O14" s="13"/>
      <c r="P14" s="13"/>
      <c r="Q14" s="50" t="s">
        <v>8</v>
      </c>
      <c r="R14" s="13"/>
      <c r="S14" s="13"/>
      <c r="T14" s="13"/>
      <c r="U14" s="13"/>
      <c r="V14" s="13"/>
      <c r="W14" s="13"/>
      <c r="X14" s="5" t="s">
        <v>8</v>
      </c>
      <c r="Y14" s="13"/>
      <c r="Z14" s="13"/>
      <c r="AA14" s="13"/>
      <c r="AB14" s="13"/>
      <c r="AC14" s="11"/>
      <c r="AD14" s="11"/>
      <c r="AE14" s="11"/>
      <c r="AF14" s="11"/>
      <c r="AG14" s="11"/>
      <c r="AH14" s="11"/>
    </row>
    <row r="15" spans="2:34" ht="48" x14ac:dyDescent="0.3">
      <c r="B15" s="18">
        <v>14</v>
      </c>
      <c r="C15" s="15" t="s">
        <v>237</v>
      </c>
      <c r="D15" s="39" t="s">
        <v>239</v>
      </c>
      <c r="E15" s="15" t="s">
        <v>240</v>
      </c>
      <c r="F15" s="47"/>
      <c r="G15" s="47"/>
      <c r="H15" s="52"/>
      <c r="I15" s="47"/>
      <c r="J15" s="52"/>
      <c r="K15" s="47"/>
      <c r="L15" s="47"/>
      <c r="M15" s="47"/>
      <c r="N15" s="47"/>
      <c r="O15" s="47"/>
      <c r="P15" s="50" t="s">
        <v>8</v>
      </c>
      <c r="Q15" s="50" t="s">
        <v>8</v>
      </c>
      <c r="R15" s="47"/>
      <c r="S15" s="47"/>
      <c r="T15" s="50" t="s">
        <v>8</v>
      </c>
      <c r="U15" s="47"/>
      <c r="V15" s="47"/>
      <c r="W15" s="47"/>
      <c r="X15" s="47"/>
      <c r="Y15" s="47"/>
      <c r="Z15" s="47"/>
      <c r="AA15" s="47"/>
      <c r="AB15" s="47"/>
      <c r="AC15" s="34"/>
      <c r="AD15" s="34"/>
      <c r="AE15" s="34"/>
      <c r="AF15" s="34"/>
      <c r="AG15" s="34"/>
      <c r="AH15" s="34"/>
    </row>
    <row r="16" spans="2:34" ht="48" x14ac:dyDescent="0.3">
      <c r="B16" s="4">
        <v>15</v>
      </c>
      <c r="C16" s="15" t="s">
        <v>244</v>
      </c>
      <c r="D16" s="15" t="s">
        <v>245</v>
      </c>
      <c r="E16" s="15" t="s">
        <v>246</v>
      </c>
      <c r="F16" s="13"/>
      <c r="G16" s="13"/>
      <c r="H16" s="52"/>
      <c r="I16" s="13"/>
      <c r="J16" s="52"/>
      <c r="K16" s="13"/>
      <c r="L16" s="13"/>
      <c r="M16" s="13"/>
      <c r="N16" s="50" t="s">
        <v>8</v>
      </c>
      <c r="O16" s="13"/>
      <c r="P16" s="13"/>
      <c r="Q16" s="13"/>
      <c r="R16" s="13"/>
      <c r="S16" s="13"/>
      <c r="T16" s="50" t="s">
        <v>8</v>
      </c>
      <c r="U16" s="50" t="s">
        <v>8</v>
      </c>
      <c r="V16" s="13"/>
      <c r="W16" s="13"/>
      <c r="X16" s="13"/>
      <c r="Y16" s="13"/>
      <c r="Z16" s="13"/>
      <c r="AA16" s="13"/>
      <c r="AB16" s="5" t="s">
        <v>8</v>
      </c>
      <c r="AC16" s="11"/>
      <c r="AD16" s="11"/>
      <c r="AE16" s="11"/>
      <c r="AF16" s="11"/>
      <c r="AG16" s="11"/>
      <c r="AH16" s="11"/>
    </row>
    <row r="17" spans="2:34" ht="36" x14ac:dyDescent="0.3">
      <c r="B17" s="7">
        <v>16</v>
      </c>
      <c r="C17" s="15" t="s">
        <v>248</v>
      </c>
      <c r="D17" s="15" t="s">
        <v>117</v>
      </c>
      <c r="E17" s="15" t="s">
        <v>249</v>
      </c>
      <c r="F17" s="13"/>
      <c r="G17" s="13"/>
      <c r="H17" s="52"/>
      <c r="I17" s="13"/>
      <c r="J17" s="52"/>
      <c r="K17" s="13"/>
      <c r="L17" s="13"/>
      <c r="M17" s="13"/>
      <c r="N17" s="13"/>
      <c r="O17" s="13"/>
      <c r="P17" s="50" t="s">
        <v>8</v>
      </c>
      <c r="Q17" s="13"/>
      <c r="R17" s="13"/>
      <c r="S17" s="13"/>
      <c r="T17" s="13"/>
      <c r="U17" s="13"/>
      <c r="V17" s="13"/>
      <c r="W17" s="13"/>
      <c r="X17" s="13"/>
      <c r="Y17" s="13"/>
      <c r="Z17" s="13"/>
      <c r="AA17" s="13"/>
      <c r="AB17" s="13"/>
      <c r="AC17" s="5" t="s">
        <v>8</v>
      </c>
      <c r="AD17" s="11"/>
      <c r="AE17" s="11"/>
      <c r="AF17" s="11"/>
      <c r="AG17" s="11"/>
      <c r="AH17" s="11"/>
    </row>
    <row r="18" spans="2:34" ht="36" x14ac:dyDescent="0.3">
      <c r="B18" s="4">
        <v>17</v>
      </c>
      <c r="C18" s="15" t="s">
        <v>251</v>
      </c>
      <c r="D18" s="15" t="s">
        <v>252</v>
      </c>
      <c r="E18" s="15" t="s">
        <v>253</v>
      </c>
      <c r="F18" s="13"/>
      <c r="G18" s="13"/>
      <c r="H18" s="50" t="s">
        <v>8</v>
      </c>
      <c r="I18" s="13"/>
      <c r="J18" s="50" t="s">
        <v>8</v>
      </c>
      <c r="K18" s="13"/>
      <c r="L18" s="13"/>
      <c r="M18" s="13"/>
      <c r="N18" s="13"/>
      <c r="O18" s="13"/>
      <c r="P18" s="13"/>
      <c r="Q18" s="13"/>
      <c r="R18" s="13"/>
      <c r="S18" s="13"/>
      <c r="T18" s="13"/>
      <c r="U18" s="13"/>
      <c r="V18" s="13"/>
      <c r="W18" s="13"/>
      <c r="X18" s="13"/>
      <c r="Y18" s="13"/>
      <c r="Z18" s="13"/>
      <c r="AA18" s="13"/>
      <c r="AB18" s="13"/>
      <c r="AC18" s="11"/>
      <c r="AD18" s="5" t="s">
        <v>8</v>
      </c>
      <c r="AE18" s="11"/>
      <c r="AF18" s="11"/>
      <c r="AG18" s="11"/>
      <c r="AH18" s="11"/>
    </row>
    <row r="19" spans="2:34" ht="60" x14ac:dyDescent="0.3">
      <c r="B19" s="4">
        <v>18</v>
      </c>
      <c r="C19" s="15" t="s">
        <v>255</v>
      </c>
      <c r="D19" s="6" t="s">
        <v>101</v>
      </c>
      <c r="E19" s="15" t="s">
        <v>256</v>
      </c>
      <c r="F19" s="50" t="s">
        <v>8</v>
      </c>
      <c r="G19" s="13"/>
      <c r="H19" s="50" t="s">
        <v>8</v>
      </c>
      <c r="I19" s="13"/>
      <c r="J19" s="50" t="s">
        <v>8</v>
      </c>
      <c r="K19" s="13"/>
      <c r="L19" s="13"/>
      <c r="M19" s="13"/>
      <c r="N19" s="5" t="s">
        <v>8</v>
      </c>
      <c r="O19" s="13"/>
      <c r="P19" s="13"/>
      <c r="Q19" s="13"/>
      <c r="R19" s="13"/>
      <c r="S19" s="13"/>
      <c r="T19" s="13"/>
      <c r="U19" s="13"/>
      <c r="V19" s="13"/>
      <c r="W19" s="13"/>
      <c r="X19" s="13"/>
      <c r="Y19" s="13"/>
      <c r="Z19" s="13"/>
      <c r="AA19" s="13"/>
      <c r="AB19" s="13"/>
      <c r="AC19" s="11"/>
      <c r="AD19" s="11"/>
      <c r="AE19" s="5" t="s">
        <v>8</v>
      </c>
      <c r="AF19" s="11"/>
      <c r="AG19" s="11"/>
      <c r="AH19" s="11"/>
    </row>
    <row r="20" spans="2:34" ht="24" x14ac:dyDescent="0.3">
      <c r="B20" s="7">
        <v>19</v>
      </c>
      <c r="C20" s="15" t="s">
        <v>258</v>
      </c>
      <c r="D20" s="39" t="s">
        <v>259</v>
      </c>
      <c r="E20" s="15" t="s">
        <v>260</v>
      </c>
      <c r="F20" s="47"/>
      <c r="G20" s="47"/>
      <c r="H20" s="52"/>
      <c r="I20" s="47"/>
      <c r="J20" s="52"/>
      <c r="K20" s="47"/>
      <c r="L20" s="47"/>
      <c r="M20" s="47"/>
      <c r="N20" s="47"/>
      <c r="O20" s="47"/>
      <c r="P20" s="47"/>
      <c r="Q20" s="47"/>
      <c r="R20" s="47"/>
      <c r="S20" s="47"/>
      <c r="T20" s="47"/>
      <c r="U20" s="47"/>
      <c r="V20" s="33" t="s">
        <v>8</v>
      </c>
      <c r="W20" s="47"/>
      <c r="X20" s="47"/>
      <c r="Y20" s="47"/>
      <c r="Z20" s="47"/>
      <c r="AA20" s="47"/>
      <c r="AB20" s="47"/>
      <c r="AC20" s="47"/>
      <c r="AD20" s="47"/>
      <c r="AE20" s="47"/>
      <c r="AF20" s="47"/>
      <c r="AG20" s="34"/>
      <c r="AH20" s="34"/>
    </row>
    <row r="21" spans="2:34" ht="36" x14ac:dyDescent="0.3">
      <c r="B21" s="4">
        <v>20</v>
      </c>
      <c r="C21" s="15" t="s">
        <v>261</v>
      </c>
      <c r="D21" s="6" t="s">
        <v>101</v>
      </c>
      <c r="E21" s="15" t="s">
        <v>262</v>
      </c>
      <c r="F21" s="13"/>
      <c r="G21" s="13"/>
      <c r="H21" s="50" t="s">
        <v>8</v>
      </c>
      <c r="I21" s="13"/>
      <c r="J21" s="50" t="s">
        <v>8</v>
      </c>
      <c r="K21" s="13"/>
      <c r="L21" s="50" t="s">
        <v>8</v>
      </c>
      <c r="M21" s="13"/>
      <c r="N21" s="50" t="s">
        <v>8</v>
      </c>
      <c r="O21" s="50" t="s">
        <v>8</v>
      </c>
      <c r="P21" s="13"/>
      <c r="Q21" s="13"/>
      <c r="R21" s="13"/>
      <c r="S21" s="13"/>
      <c r="T21" s="13"/>
      <c r="U21" s="13"/>
      <c r="V21" s="13"/>
      <c r="W21" s="13"/>
      <c r="X21" s="13"/>
      <c r="Y21" s="13"/>
      <c r="Z21" s="13"/>
      <c r="AA21" s="5" t="s">
        <v>8</v>
      </c>
      <c r="AB21" s="13"/>
      <c r="AC21" s="13"/>
      <c r="AD21" s="13"/>
      <c r="AE21" s="13"/>
      <c r="AF21" s="13"/>
      <c r="AG21" s="11"/>
      <c r="AH21" s="11"/>
    </row>
    <row r="22" spans="2:34" ht="24" x14ac:dyDescent="0.3">
      <c r="B22" s="4">
        <v>21</v>
      </c>
      <c r="C22" s="32" t="s">
        <v>263</v>
      </c>
      <c r="D22" s="36" t="s">
        <v>101</v>
      </c>
      <c r="E22" s="15" t="s">
        <v>267</v>
      </c>
      <c r="F22" s="46"/>
      <c r="G22" s="46"/>
      <c r="H22" s="50" t="s">
        <v>8</v>
      </c>
      <c r="I22" s="46"/>
      <c r="J22" s="52"/>
      <c r="K22" s="46"/>
      <c r="L22" s="46"/>
      <c r="M22" s="46"/>
      <c r="N22" s="50" t="s">
        <v>8</v>
      </c>
      <c r="O22" s="50" t="s">
        <v>8</v>
      </c>
      <c r="P22" s="46"/>
      <c r="Q22" s="46"/>
      <c r="R22" s="46"/>
      <c r="S22" s="46"/>
      <c r="T22" s="46"/>
      <c r="U22" s="46"/>
      <c r="V22" s="46"/>
      <c r="W22" s="46"/>
      <c r="X22" s="46"/>
      <c r="Y22" s="46"/>
      <c r="Z22" s="46"/>
      <c r="AA22" s="46"/>
      <c r="AB22" s="46"/>
      <c r="AC22" s="46"/>
      <c r="AD22" s="46"/>
      <c r="AE22" s="41" t="s">
        <v>8</v>
      </c>
      <c r="AF22" s="41" t="s">
        <v>8</v>
      </c>
      <c r="AG22" s="43"/>
      <c r="AH22" s="43"/>
    </row>
    <row r="23" spans="2:34" ht="36" x14ac:dyDescent="0.3">
      <c r="B23" s="7">
        <v>22</v>
      </c>
      <c r="C23" s="32" t="s">
        <v>265</v>
      </c>
      <c r="D23" s="6" t="s">
        <v>101</v>
      </c>
      <c r="E23" s="15" t="s">
        <v>266</v>
      </c>
      <c r="F23" s="13"/>
      <c r="G23" s="13"/>
      <c r="H23" s="50" t="s">
        <v>8</v>
      </c>
      <c r="I23" s="13"/>
      <c r="J23" s="50" t="s">
        <v>8</v>
      </c>
      <c r="K23" s="13"/>
      <c r="L23" s="13"/>
      <c r="M23" s="13"/>
      <c r="N23" s="13"/>
      <c r="O23" s="13"/>
      <c r="P23" s="50" t="s">
        <v>8</v>
      </c>
      <c r="Q23" s="50" t="s">
        <v>8</v>
      </c>
      <c r="R23" s="13"/>
      <c r="S23" s="13"/>
      <c r="T23" s="13"/>
      <c r="U23" s="13"/>
      <c r="V23" s="13"/>
      <c r="W23" s="13"/>
      <c r="X23" s="13"/>
      <c r="Y23" s="50" t="s">
        <v>8</v>
      </c>
      <c r="Z23" s="13"/>
      <c r="AA23" s="13"/>
      <c r="AB23" s="13"/>
      <c r="AC23" s="13"/>
      <c r="AD23" s="13"/>
      <c r="AE23" s="13"/>
      <c r="AF23" s="13"/>
      <c r="AG23" s="11"/>
      <c r="AH23" s="11"/>
    </row>
    <row r="24" spans="2:34" ht="48" x14ac:dyDescent="0.3">
      <c r="B24" s="4">
        <v>23</v>
      </c>
      <c r="C24" s="32" t="s">
        <v>268</v>
      </c>
      <c r="D24" s="36" t="s">
        <v>101</v>
      </c>
      <c r="E24" s="15" t="s">
        <v>269</v>
      </c>
      <c r="F24" s="46"/>
      <c r="G24" s="46"/>
      <c r="H24" s="50" t="s">
        <v>8</v>
      </c>
      <c r="I24" s="46"/>
      <c r="J24" s="50" t="s">
        <v>8</v>
      </c>
      <c r="K24" s="50" t="s">
        <v>8</v>
      </c>
      <c r="L24" s="46"/>
      <c r="M24" s="41" t="s">
        <v>8</v>
      </c>
      <c r="N24" s="46"/>
      <c r="O24" s="50" t="s">
        <v>8</v>
      </c>
      <c r="P24" s="46"/>
      <c r="Q24" s="46"/>
      <c r="R24" s="46"/>
      <c r="S24" s="46"/>
      <c r="T24" s="46"/>
      <c r="U24" s="50" t="s">
        <v>8</v>
      </c>
      <c r="V24" s="46"/>
      <c r="W24" s="46"/>
      <c r="X24" s="46"/>
      <c r="Y24" s="46"/>
      <c r="Z24" s="46"/>
      <c r="AA24" s="46"/>
      <c r="AB24" s="46"/>
      <c r="AC24" s="46"/>
      <c r="AD24" s="46"/>
      <c r="AE24" s="46"/>
      <c r="AF24" s="46"/>
      <c r="AG24" s="43"/>
      <c r="AH24" s="43"/>
    </row>
    <row r="25" spans="2:34" ht="36" x14ac:dyDescent="0.3">
      <c r="B25" s="4">
        <v>24</v>
      </c>
      <c r="C25" s="32" t="s">
        <v>271</v>
      </c>
      <c r="D25" s="40" t="s">
        <v>101</v>
      </c>
      <c r="E25" s="15" t="s">
        <v>272</v>
      </c>
      <c r="F25" s="47"/>
      <c r="G25" s="47"/>
      <c r="H25" s="52"/>
      <c r="I25" s="47"/>
      <c r="J25" s="52"/>
      <c r="K25" s="47"/>
      <c r="L25" s="47"/>
      <c r="M25" s="47"/>
      <c r="N25" s="47"/>
      <c r="O25" s="47"/>
      <c r="P25" s="47"/>
      <c r="Q25" s="50" t="s">
        <v>8</v>
      </c>
      <c r="R25" s="47"/>
      <c r="S25" s="47"/>
      <c r="T25" s="50" t="s">
        <v>8</v>
      </c>
      <c r="U25" s="47"/>
      <c r="V25" s="47"/>
      <c r="W25" s="47"/>
      <c r="X25" s="47"/>
      <c r="Y25" s="50" t="s">
        <v>8</v>
      </c>
      <c r="Z25" s="47"/>
      <c r="AA25" s="47"/>
      <c r="AB25" s="47"/>
      <c r="AC25" s="47"/>
      <c r="AD25" s="47"/>
      <c r="AE25" s="47"/>
      <c r="AF25" s="47"/>
      <c r="AG25" s="33" t="s">
        <v>8</v>
      </c>
      <c r="AH25" s="33" t="s">
        <v>8</v>
      </c>
    </row>
    <row r="26" spans="2:34" ht="36" x14ac:dyDescent="0.3">
      <c r="B26" s="7">
        <v>25</v>
      </c>
      <c r="C26" s="32" t="s">
        <v>275</v>
      </c>
      <c r="D26" s="40" t="s">
        <v>101</v>
      </c>
      <c r="E26" s="15" t="s">
        <v>276</v>
      </c>
      <c r="F26" s="47"/>
      <c r="G26" s="47"/>
      <c r="H26" s="50" t="s">
        <v>8</v>
      </c>
      <c r="I26" s="47"/>
      <c r="J26" s="50" t="s">
        <v>8</v>
      </c>
      <c r="K26" s="47"/>
      <c r="L26" s="47"/>
      <c r="M26" s="47"/>
      <c r="N26" s="50" t="s">
        <v>8</v>
      </c>
      <c r="O26" s="47"/>
      <c r="P26" s="47"/>
      <c r="Q26" s="47"/>
      <c r="R26" s="47"/>
      <c r="S26" s="47"/>
      <c r="T26" s="50" t="s">
        <v>8</v>
      </c>
      <c r="U26" s="47"/>
      <c r="V26" s="47"/>
      <c r="W26" s="47"/>
      <c r="X26" s="47"/>
      <c r="Y26" s="47"/>
      <c r="Z26" s="47"/>
      <c r="AA26" s="47"/>
      <c r="AB26" s="47"/>
      <c r="AC26" s="47"/>
      <c r="AD26" s="47"/>
      <c r="AE26" s="47"/>
      <c r="AF26" s="47"/>
      <c r="AG26" s="34"/>
      <c r="AH26" s="34"/>
    </row>
    <row r="27" spans="2:34" ht="36" x14ac:dyDescent="0.3">
      <c r="B27" s="4">
        <v>26</v>
      </c>
      <c r="C27" s="15" t="s">
        <v>277</v>
      </c>
      <c r="D27" s="38" t="s">
        <v>278</v>
      </c>
      <c r="E27" s="15" t="s">
        <v>279</v>
      </c>
      <c r="F27" s="46"/>
      <c r="G27" s="46"/>
      <c r="H27" s="50" t="s">
        <v>8</v>
      </c>
      <c r="I27" s="46"/>
      <c r="J27" s="50" t="s">
        <v>8</v>
      </c>
      <c r="K27" s="46"/>
      <c r="L27" s="46"/>
      <c r="M27" s="46"/>
      <c r="N27" s="50" t="s">
        <v>8</v>
      </c>
      <c r="O27" s="46"/>
      <c r="P27" s="46"/>
      <c r="Q27" s="46"/>
      <c r="R27" s="46"/>
      <c r="S27" s="46"/>
      <c r="T27" s="46"/>
      <c r="U27" s="50" t="s">
        <v>8</v>
      </c>
      <c r="V27" s="46"/>
      <c r="W27" s="46"/>
      <c r="X27" s="46"/>
      <c r="Y27" s="46"/>
      <c r="Z27" s="46"/>
      <c r="AA27" s="41" t="s">
        <v>8</v>
      </c>
      <c r="AB27" s="46"/>
      <c r="AC27" s="46"/>
      <c r="AD27" s="46"/>
      <c r="AE27" s="46"/>
      <c r="AF27" s="46"/>
      <c r="AG27" s="43"/>
      <c r="AH27" s="43"/>
    </row>
    <row r="28" spans="2:34" x14ac:dyDescent="0.3">
      <c r="C28" s="20"/>
      <c r="D28" s="20"/>
      <c r="E28" s="14"/>
      <c r="F28" s="24">
        <v>3</v>
      </c>
      <c r="G28" s="21">
        <v>2</v>
      </c>
      <c r="H28" s="24">
        <v>12</v>
      </c>
      <c r="I28" s="24">
        <v>4</v>
      </c>
      <c r="J28" s="24">
        <v>13</v>
      </c>
      <c r="K28" s="24">
        <v>4</v>
      </c>
      <c r="L28" s="24">
        <v>3</v>
      </c>
      <c r="M28" s="21">
        <v>2</v>
      </c>
      <c r="N28" s="24">
        <v>9</v>
      </c>
      <c r="O28" s="24">
        <v>9</v>
      </c>
      <c r="P28" s="24">
        <v>4</v>
      </c>
      <c r="Q28" s="24">
        <v>6</v>
      </c>
      <c r="R28" s="21">
        <v>2</v>
      </c>
      <c r="S28" s="24">
        <v>3</v>
      </c>
      <c r="T28" s="24">
        <v>6</v>
      </c>
      <c r="U28" s="24">
        <v>5</v>
      </c>
      <c r="V28" s="21">
        <v>1</v>
      </c>
      <c r="W28" s="21">
        <v>1</v>
      </c>
      <c r="X28" s="21">
        <v>1</v>
      </c>
      <c r="Y28" s="24">
        <v>4</v>
      </c>
      <c r="Z28" s="24">
        <v>4</v>
      </c>
      <c r="AA28" s="24">
        <v>3</v>
      </c>
      <c r="AB28" s="21">
        <v>1</v>
      </c>
      <c r="AC28" s="21">
        <v>1</v>
      </c>
      <c r="AD28" s="21">
        <v>1</v>
      </c>
      <c r="AE28" s="21">
        <v>2</v>
      </c>
      <c r="AF28" s="21">
        <v>1</v>
      </c>
      <c r="AG28" s="22">
        <v>1</v>
      </c>
      <c r="AH28" s="22">
        <v>1</v>
      </c>
    </row>
    <row r="29" spans="2:34" x14ac:dyDescent="0.3">
      <c r="C29" s="14"/>
      <c r="D29" s="14"/>
      <c r="E29" s="14"/>
      <c r="F29" s="25"/>
      <c r="H29" s="25"/>
      <c r="I29" s="25"/>
      <c r="J29" s="25"/>
      <c r="K29" s="25"/>
      <c r="L29" s="25"/>
      <c r="N29" s="25"/>
      <c r="O29" s="25"/>
      <c r="P29" s="25"/>
      <c r="Q29" s="25"/>
      <c r="S29" s="25"/>
      <c r="T29" s="25"/>
      <c r="U29" s="25"/>
      <c r="Y29" s="25"/>
      <c r="Z29" s="25"/>
      <c r="AA29" s="25"/>
    </row>
    <row r="30" spans="2:34" x14ac:dyDescent="0.3">
      <c r="C30" s="14"/>
      <c r="D30" s="14"/>
      <c r="E30" s="14"/>
      <c r="F30" s="48">
        <f>F28/26</f>
        <v>0.11538461538461539</v>
      </c>
      <c r="G30" s="23">
        <f t="shared" ref="G30:AH30" si="0">G28/26</f>
        <v>7.6923076923076927E-2</v>
      </c>
      <c r="H30" s="48">
        <f t="shared" si="0"/>
        <v>0.46153846153846156</v>
      </c>
      <c r="I30" s="48">
        <f t="shared" si="0"/>
        <v>0.15384615384615385</v>
      </c>
      <c r="J30" s="48">
        <f t="shared" si="0"/>
        <v>0.5</v>
      </c>
      <c r="K30" s="48">
        <f t="shared" si="0"/>
        <v>0.15384615384615385</v>
      </c>
      <c r="L30" s="48">
        <f t="shared" si="0"/>
        <v>0.11538461538461539</v>
      </c>
      <c r="M30" s="23">
        <f t="shared" si="0"/>
        <v>7.6923076923076927E-2</v>
      </c>
      <c r="N30" s="48">
        <f t="shared" si="0"/>
        <v>0.34615384615384615</v>
      </c>
      <c r="O30" s="48">
        <f t="shared" si="0"/>
        <v>0.34615384615384615</v>
      </c>
      <c r="P30" s="48">
        <f t="shared" si="0"/>
        <v>0.15384615384615385</v>
      </c>
      <c r="Q30" s="48">
        <f t="shared" si="0"/>
        <v>0.23076923076923078</v>
      </c>
      <c r="R30" s="23">
        <f t="shared" si="0"/>
        <v>7.6923076923076927E-2</v>
      </c>
      <c r="S30" s="26">
        <f t="shared" si="0"/>
        <v>0.11538461538461539</v>
      </c>
      <c r="T30" s="48">
        <f t="shared" si="0"/>
        <v>0.23076923076923078</v>
      </c>
      <c r="U30" s="48">
        <f t="shared" si="0"/>
        <v>0.19230769230769232</v>
      </c>
      <c r="V30" s="23">
        <f t="shared" si="0"/>
        <v>3.8461538461538464E-2</v>
      </c>
      <c r="W30" s="23">
        <f t="shared" si="0"/>
        <v>3.8461538461538464E-2</v>
      </c>
      <c r="X30" s="23">
        <f t="shared" si="0"/>
        <v>3.8461538461538464E-2</v>
      </c>
      <c r="Y30" s="48">
        <f t="shared" si="0"/>
        <v>0.15384615384615385</v>
      </c>
      <c r="Z30" s="28">
        <f t="shared" si="0"/>
        <v>0.15384615384615385</v>
      </c>
      <c r="AA30" s="26">
        <f t="shared" si="0"/>
        <v>0.11538461538461539</v>
      </c>
      <c r="AB30" s="23">
        <f t="shared" si="0"/>
        <v>3.8461538461538464E-2</v>
      </c>
      <c r="AC30" s="23">
        <f t="shared" si="0"/>
        <v>3.8461538461538464E-2</v>
      </c>
      <c r="AD30" s="23">
        <f t="shared" si="0"/>
        <v>3.8461538461538464E-2</v>
      </c>
      <c r="AE30" s="23">
        <f t="shared" si="0"/>
        <v>7.6923076923076927E-2</v>
      </c>
      <c r="AF30" s="23">
        <f t="shared" si="0"/>
        <v>3.8461538461538464E-2</v>
      </c>
      <c r="AG30" s="23">
        <f t="shared" si="0"/>
        <v>3.8461538461538464E-2</v>
      </c>
      <c r="AH30" s="23">
        <f t="shared" si="0"/>
        <v>3.8461538461538464E-2</v>
      </c>
    </row>
    <row r="31" spans="2:34" x14ac:dyDescent="0.3">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row>
    <row r="32" spans="2:34" x14ac:dyDescent="0.3">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row>
    <row r="33" spans="3:32" x14ac:dyDescent="0.3">
      <c r="C33" s="14"/>
      <c r="D33" s="14"/>
      <c r="E33" s="14"/>
      <c r="F33" s="5" t="s">
        <v>8</v>
      </c>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row>
    <row r="34" spans="3:32" x14ac:dyDescent="0.3">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row>
    <row r="35" spans="3:32" x14ac:dyDescent="0.3">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row>
    <row r="36" spans="3:32" x14ac:dyDescent="0.3">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row>
    <row r="37" spans="3:32" x14ac:dyDescent="0.3">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row>
    <row r="38" spans="3:32" x14ac:dyDescent="0.3">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row>
    <row r="39" spans="3:32" x14ac:dyDescent="0.3">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row>
    <row r="40" spans="3:32" x14ac:dyDescent="0.3">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row>
    <row r="41" spans="3:32" x14ac:dyDescent="0.3">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row>
    <row r="42" spans="3:32" x14ac:dyDescent="0.3">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row>
    <row r="43" spans="3:32" x14ac:dyDescent="0.3">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row>
    <row r="44" spans="3:32" x14ac:dyDescent="0.3">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row>
    <row r="45" spans="3:32" x14ac:dyDescent="0.3">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row>
    <row r="46" spans="3:32" x14ac:dyDescent="0.3">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row>
    <row r="47" spans="3:32" x14ac:dyDescent="0.3">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row>
    <row r="48" spans="3:32" x14ac:dyDescent="0.3">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row>
    <row r="49" spans="3:32" x14ac:dyDescent="0.3">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row>
    <row r="50" spans="3:32" x14ac:dyDescent="0.3">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row>
    <row r="51" spans="3:32" x14ac:dyDescent="0.3">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row>
    <row r="52" spans="3:32" x14ac:dyDescent="0.3">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row>
    <row r="53" spans="3:32" x14ac:dyDescent="0.3">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row>
    <row r="54" spans="3:32" x14ac:dyDescent="0.3">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row>
    <row r="55" spans="3:32" x14ac:dyDescent="0.3">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row>
    <row r="56" spans="3:32" x14ac:dyDescent="0.3">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row>
    <row r="57" spans="3:32" x14ac:dyDescent="0.3">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row>
    <row r="58" spans="3:32" x14ac:dyDescent="0.3">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row>
    <row r="59" spans="3:32" x14ac:dyDescent="0.3">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row>
    <row r="60" spans="3:32" x14ac:dyDescent="0.3">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row>
    <row r="61" spans="3:32" x14ac:dyDescent="0.3">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row>
    <row r="62" spans="3:32" x14ac:dyDescent="0.3">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row>
    <row r="63" spans="3:32" x14ac:dyDescent="0.3">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row>
    <row r="64" spans="3:32" x14ac:dyDescent="0.3">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row>
    <row r="65" spans="3:32" x14ac:dyDescent="0.3">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row>
    <row r="66" spans="3:32" x14ac:dyDescent="0.3">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row>
    <row r="67" spans="3:32" x14ac:dyDescent="0.3">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row>
    <row r="68" spans="3:32" x14ac:dyDescent="0.3">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faktor stunting</vt:lpstr>
      <vt:lpstr>Dr Publish of Perish</vt:lpstr>
      <vt:lpstr>Analisis faktor stunting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2023-06-22T23:53:00Z</dcterms:created>
  <dcterms:modified xsi:type="dcterms:W3CDTF">2024-09-24T06:07:12Z</dcterms:modified>
</cp:coreProperties>
</file>